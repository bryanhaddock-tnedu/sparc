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doe-my.sharepoint.com/personal/vijay_gollapudi_edu_tn_gov/Documents/"/>
    </mc:Choice>
  </mc:AlternateContent>
  <xr:revisionPtr revIDLastSave="0" documentId="8_{A67CC77C-9459-49D7-A433-34FA16392CE7}" xr6:coauthVersionLast="47" xr6:coauthVersionMax="47" xr10:uidLastSave="{00000000-0000-0000-0000-000000000000}"/>
  <bookViews>
    <workbookView xWindow="0" yWindow="780" windowWidth="38400" windowHeight="22800" firstSheet="11" activeTab="10" xr2:uid="{BEDFA275-E135-4C4D-A93C-C4E709633C34}"/>
  </bookViews>
  <sheets>
    <sheet name="Master" sheetId="3" r:id="rId1"/>
    <sheet name="July 25" sheetId="4" r:id="rId2"/>
    <sheet name="August 25" sheetId="5" r:id="rId3"/>
    <sheet name="Sept 25" sheetId="7" r:id="rId4"/>
    <sheet name="Oct 25" sheetId="8" r:id="rId5"/>
    <sheet name="Nov 25" sheetId="1" r:id="rId6"/>
    <sheet name="Dec 25" sheetId="15" r:id="rId7"/>
    <sheet name="Jan 26" sheetId="9" r:id="rId8"/>
    <sheet name="Feb 26" sheetId="10" r:id="rId9"/>
    <sheet name="March 26" sheetId="12" r:id="rId10"/>
    <sheet name="April 26" sheetId="11" r:id="rId11"/>
    <sheet name="May 26" sheetId="13" r:id="rId12"/>
    <sheet name="June 26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4" l="1"/>
  <c r="A29" i="14"/>
  <c r="B29" i="13"/>
  <c r="A29" i="13"/>
  <c r="B29" i="11"/>
  <c r="A29" i="11"/>
  <c r="B29" i="12"/>
  <c r="A29" i="12"/>
  <c r="B29" i="10"/>
  <c r="A29" i="10"/>
  <c r="B29" i="9"/>
  <c r="A29" i="9"/>
  <c r="B29" i="15"/>
  <c r="A29" i="15"/>
  <c r="B29" i="1"/>
  <c r="A29" i="1"/>
  <c r="B29" i="8"/>
  <c r="A29" i="8"/>
  <c r="B29" i="7"/>
  <c r="A29" i="7"/>
  <c r="B29" i="5"/>
  <c r="A29" i="5"/>
  <c r="CH3" i="3"/>
  <c r="CH5" i="3"/>
  <c r="CH6" i="3"/>
  <c r="CH7" i="3"/>
  <c r="CH8" i="3"/>
  <c r="CH9" i="3"/>
  <c r="CH10" i="3"/>
  <c r="CH11" i="3"/>
  <c r="CH12" i="3"/>
  <c r="CH13" i="3"/>
  <c r="CH14" i="3"/>
  <c r="CH15" i="3"/>
  <c r="CH16" i="3"/>
  <c r="CH17" i="3"/>
  <c r="CH18" i="3"/>
  <c r="CH21" i="3"/>
  <c r="CH22" i="3"/>
  <c r="CH23" i="3"/>
  <c r="CH24" i="3"/>
  <c r="CH25" i="3"/>
  <c r="CH27" i="3"/>
  <c r="CH28" i="3"/>
  <c r="CG3" i="3"/>
  <c r="CG5" i="3"/>
  <c r="CG6" i="3"/>
  <c r="CG7" i="3"/>
  <c r="CG8" i="3"/>
  <c r="CG9" i="3"/>
  <c r="CG10" i="3"/>
  <c r="CG11" i="3"/>
  <c r="CG12" i="3"/>
  <c r="CG13" i="3"/>
  <c r="CG14" i="3"/>
  <c r="CG15" i="3"/>
  <c r="CG16" i="3"/>
  <c r="CG17" i="3"/>
  <c r="CG18" i="3"/>
  <c r="CG21" i="3"/>
  <c r="CG22" i="3"/>
  <c r="CG23" i="3"/>
  <c r="CG24" i="3"/>
  <c r="CG25" i="3"/>
  <c r="CG26" i="3"/>
  <c r="CG27" i="3"/>
  <c r="CG28" i="3"/>
  <c r="CF3" i="3" a="1"/>
  <c r="CF3" i="3" s="1"/>
  <c r="CF5" i="3" a="1"/>
  <c r="CF5" i="3" s="1"/>
  <c r="CF6" i="3" a="1"/>
  <c r="CF6" i="3" s="1"/>
  <c r="CF7" i="3" a="1"/>
  <c r="CF7" i="3" s="1"/>
  <c r="CF8" i="3" a="1"/>
  <c r="CF8" i="3" s="1"/>
  <c r="CF9" i="3" a="1"/>
  <c r="CF9" i="3" s="1"/>
  <c r="CF10" i="3" a="1"/>
  <c r="CF10" i="3" s="1"/>
  <c r="CF11" i="3" a="1"/>
  <c r="CF11" i="3" s="1"/>
  <c r="CF12" i="3" a="1"/>
  <c r="CF12" i="3"/>
  <c r="CF13" i="3" a="1"/>
  <c r="CF13" i="3" s="1"/>
  <c r="CF14" i="3" a="1"/>
  <c r="CF14" i="3" s="1"/>
  <c r="CF15" i="3" a="1"/>
  <c r="CF15" i="3" s="1"/>
  <c r="CF16" i="3" a="1"/>
  <c r="CF16" i="3" s="1"/>
  <c r="CF17" i="3" a="1"/>
  <c r="CF17" i="3" s="1"/>
  <c r="CF18" i="3" a="1"/>
  <c r="CF18" i="3" s="1"/>
  <c r="CF21" i="3" a="1"/>
  <c r="CF21" i="3" s="1"/>
  <c r="CF22" i="3" a="1"/>
  <c r="CF22" i="3" s="1"/>
  <c r="CF23" i="3" a="1"/>
  <c r="CF23" i="3" s="1"/>
  <c r="CF24" i="3" a="1"/>
  <c r="CF24" i="3" s="1"/>
  <c r="CF25" i="3" a="1"/>
  <c r="CF25" i="3" s="1"/>
  <c r="CF27" i="3" a="1"/>
  <c r="CF27" i="3" s="1"/>
  <c r="BY21" i="3"/>
  <c r="C2" i="4"/>
  <c r="C1" i="4"/>
  <c r="C2" i="5"/>
  <c r="C1" i="5"/>
  <c r="C2" i="7"/>
  <c r="C1" i="7"/>
  <c r="C2" i="8"/>
  <c r="C1" i="8"/>
  <c r="C1" i="1"/>
  <c r="C1" i="15"/>
  <c r="C1" i="9"/>
  <c r="C1" i="10"/>
  <c r="C1" i="12"/>
  <c r="C1" i="11"/>
  <c r="C1" i="13"/>
  <c r="C1" i="14"/>
  <c r="AS9" i="1"/>
  <c r="AU9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Z21" i="3"/>
  <c r="CA21" i="3"/>
  <c r="CB21" i="3"/>
  <c r="CC21" i="3"/>
  <c r="CD21" i="3"/>
  <c r="CE21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CH26" i="3" s="1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BZ31" i="3" s="1"/>
  <c r="CA29" i="3"/>
  <c r="CA31" i="3" s="1"/>
  <c r="CB29" i="3"/>
  <c r="CB31" i="3" s="1"/>
  <c r="CC29" i="3"/>
  <c r="CC31" i="3" s="1"/>
  <c r="CD29" i="3"/>
  <c r="CD31" i="3" s="1"/>
  <c r="CE29" i="3"/>
  <c r="CE31" i="3" s="1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F18" i="3"/>
  <c r="F19" i="3"/>
  <c r="F20" i="3"/>
  <c r="F21" i="3"/>
  <c r="F22" i="3"/>
  <c r="F23" i="3"/>
  <c r="F24" i="3"/>
  <c r="F25" i="3"/>
  <c r="F26" i="3"/>
  <c r="F27" i="3"/>
  <c r="F28" i="3"/>
  <c r="CF28" i="3" s="1" a="1"/>
  <c r="CF28" i="3" s="1"/>
  <c r="F29" i="3"/>
  <c r="F30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" i="3"/>
  <c r="H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I3" i="3"/>
  <c r="BX2" i="14"/>
  <c r="BY2" i="14"/>
  <c r="BZ2" i="14"/>
  <c r="CA2" i="14"/>
  <c r="CB2" i="14"/>
  <c r="CC2" i="14"/>
  <c r="CD2" i="14"/>
  <c r="CE2" i="14"/>
  <c r="CA1" i="14"/>
  <c r="CB1" i="14"/>
  <c r="CC1" i="14"/>
  <c r="CD1" i="14"/>
  <c r="CE1" i="14"/>
  <c r="BW1" i="14"/>
  <c r="BX1" i="14"/>
  <c r="BY1" i="14"/>
  <c r="BZ1" i="14"/>
  <c r="BW2" i="13"/>
  <c r="BX2" i="13"/>
  <c r="BY2" i="13"/>
  <c r="BZ2" i="13"/>
  <c r="CA2" i="13"/>
  <c r="CB2" i="13"/>
  <c r="CC2" i="13"/>
  <c r="CD2" i="13"/>
  <c r="BY1" i="13"/>
  <c r="BZ1" i="13"/>
  <c r="CA1" i="13"/>
  <c r="CB1" i="13"/>
  <c r="CC1" i="13"/>
  <c r="CD1" i="13"/>
  <c r="BW2" i="11"/>
  <c r="BX2" i="11"/>
  <c r="BY2" i="11"/>
  <c r="BZ2" i="11"/>
  <c r="CA2" i="11"/>
  <c r="CB2" i="11"/>
  <c r="CC2" i="11"/>
  <c r="CD2" i="11"/>
  <c r="BW2" i="12"/>
  <c r="BX2" i="12"/>
  <c r="BY2" i="12"/>
  <c r="BZ2" i="12"/>
  <c r="CA2" i="12"/>
  <c r="CB2" i="12"/>
  <c r="CC2" i="12"/>
  <c r="CD2" i="12"/>
  <c r="BW1" i="12"/>
  <c r="BX1" i="12"/>
  <c r="BY1" i="12"/>
  <c r="BZ1" i="12"/>
  <c r="CA1" i="12"/>
  <c r="CB1" i="12"/>
  <c r="CC1" i="12"/>
  <c r="BV2" i="10"/>
  <c r="BW2" i="10"/>
  <c r="BX2" i="10"/>
  <c r="BY2" i="10"/>
  <c r="BZ2" i="10"/>
  <c r="CA2" i="10"/>
  <c r="CB2" i="10"/>
  <c r="CC2" i="10"/>
  <c r="CD2" i="10"/>
  <c r="CA1" i="10"/>
  <c r="CB1" i="10"/>
  <c r="CC1" i="10"/>
  <c r="CD1" i="10"/>
  <c r="BV1" i="10"/>
  <c r="BW1" i="10"/>
  <c r="BX1" i="10"/>
  <c r="BY1" i="10"/>
  <c r="BZ1" i="10"/>
  <c r="BV2" i="9"/>
  <c r="BW2" i="9"/>
  <c r="BX2" i="9"/>
  <c r="BY2" i="9"/>
  <c r="BZ2" i="9"/>
  <c r="CA2" i="9"/>
  <c r="CB2" i="9"/>
  <c r="CC2" i="9"/>
  <c r="CD2" i="9"/>
  <c r="BW2" i="15"/>
  <c r="BX2" i="15"/>
  <c r="BY2" i="15"/>
  <c r="BZ2" i="15"/>
  <c r="CA2" i="15"/>
  <c r="CB2" i="15"/>
  <c r="CC2" i="15"/>
  <c r="CD2" i="15"/>
  <c r="CE2" i="15"/>
  <c r="BZ1" i="15"/>
  <c r="CA1" i="15"/>
  <c r="CB1" i="15"/>
  <c r="CC1" i="15"/>
  <c r="BW1" i="15"/>
  <c r="BX1" i="15"/>
  <c r="BY1" i="15"/>
  <c r="CC1" i="1"/>
  <c r="CD1" i="1"/>
  <c r="CE1" i="1"/>
  <c r="CF1" i="1"/>
  <c r="BW2" i="1"/>
  <c r="BX2" i="1"/>
  <c r="BY2" i="1"/>
  <c r="BZ2" i="1"/>
  <c r="CA2" i="1"/>
  <c r="CB2" i="1"/>
  <c r="CC2" i="1"/>
  <c r="CD2" i="1"/>
  <c r="BW1" i="1"/>
  <c r="BX1" i="1"/>
  <c r="BY1" i="1"/>
  <c r="BZ1" i="1"/>
  <c r="CA1" i="1"/>
  <c r="CB1" i="1"/>
  <c r="BW2" i="8"/>
  <c r="BX2" i="8"/>
  <c r="BY2" i="8"/>
  <c r="BZ2" i="8"/>
  <c r="CA2" i="8"/>
  <c r="CB2" i="8"/>
  <c r="CC2" i="8"/>
  <c r="CD2" i="8"/>
  <c r="BW2" i="7"/>
  <c r="BX2" i="7"/>
  <c r="BY2" i="7"/>
  <c r="BZ2" i="7"/>
  <c r="CA2" i="7"/>
  <c r="CB2" i="7"/>
  <c r="CC2" i="7"/>
  <c r="CD2" i="7"/>
  <c r="CE2" i="7"/>
  <c r="BW2" i="5"/>
  <c r="BX2" i="5"/>
  <c r="BY2" i="5"/>
  <c r="BZ2" i="5"/>
  <c r="CA2" i="5"/>
  <c r="CB2" i="5"/>
  <c r="CC2" i="5"/>
  <c r="CD2" i="5"/>
  <c r="BW2" i="4"/>
  <c r="BX2" i="4"/>
  <c r="BY2" i="4"/>
  <c r="BZ2" i="4"/>
  <c r="CA2" i="4"/>
  <c r="CB2" i="4"/>
  <c r="CC2" i="4"/>
  <c r="CD2" i="4"/>
  <c r="CE2" i="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BQ2" i="14"/>
  <c r="BR2" i="14"/>
  <c r="BS2" i="14"/>
  <c r="BT2" i="14"/>
  <c r="BU2" i="14"/>
  <c r="BV2" i="14"/>
  <c r="BW2" i="14"/>
  <c r="D2" i="14"/>
  <c r="BT1" i="14"/>
  <c r="BU1" i="14"/>
  <c r="BV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AG1" i="14"/>
  <c r="AH1" i="14"/>
  <c r="AI1" i="14"/>
  <c r="AJ1" i="14"/>
  <c r="AK1" i="14"/>
  <c r="AL1" i="14"/>
  <c r="AM1" i="14"/>
  <c r="AN1" i="14"/>
  <c r="AO1" i="14"/>
  <c r="AP1" i="14"/>
  <c r="AQ1" i="14"/>
  <c r="AR1" i="14"/>
  <c r="AS1" i="14"/>
  <c r="AT1" i="14"/>
  <c r="AU1" i="14"/>
  <c r="AV1" i="14"/>
  <c r="AW1" i="14"/>
  <c r="AX1" i="14"/>
  <c r="AY1" i="14"/>
  <c r="AZ1" i="14"/>
  <c r="BA1" i="14"/>
  <c r="BB1" i="14"/>
  <c r="BC1" i="14"/>
  <c r="BD1" i="14"/>
  <c r="BE1" i="14"/>
  <c r="BF1" i="14"/>
  <c r="BG1" i="14"/>
  <c r="BH1" i="14"/>
  <c r="BI1" i="14"/>
  <c r="BJ1" i="14"/>
  <c r="BK1" i="14"/>
  <c r="BL1" i="14"/>
  <c r="BM1" i="14"/>
  <c r="BN1" i="14"/>
  <c r="BO1" i="14"/>
  <c r="BP1" i="14"/>
  <c r="BQ1" i="14"/>
  <c r="BR1" i="14"/>
  <c r="BS1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30" i="14"/>
  <c r="B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30" i="14"/>
  <c r="A3" i="14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D2" i="13"/>
  <c r="BT1" i="13"/>
  <c r="BU1" i="13"/>
  <c r="BV1" i="13"/>
  <c r="BW1" i="13"/>
  <c r="BX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BB1" i="13"/>
  <c r="BC1" i="13"/>
  <c r="BD1" i="13"/>
  <c r="BE1" i="13"/>
  <c r="BF1" i="13"/>
  <c r="BG1" i="13"/>
  <c r="BH1" i="13"/>
  <c r="BI1" i="13"/>
  <c r="BJ1" i="13"/>
  <c r="BK1" i="13"/>
  <c r="BL1" i="13"/>
  <c r="BM1" i="13"/>
  <c r="BN1" i="13"/>
  <c r="BO1" i="13"/>
  <c r="BP1" i="13"/>
  <c r="BQ1" i="13"/>
  <c r="BR1" i="13"/>
  <c r="BS1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30" i="13"/>
  <c r="B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30" i="13"/>
  <c r="A3" i="13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BP2" i="11"/>
  <c r="BQ2" i="11"/>
  <c r="BR2" i="11"/>
  <c r="BS2" i="11"/>
  <c r="BT2" i="11"/>
  <c r="BU2" i="11"/>
  <c r="BV2" i="11"/>
  <c r="D2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U1" i="11"/>
  <c r="AV1" i="11"/>
  <c r="AW1" i="11"/>
  <c r="AX1" i="11"/>
  <c r="AY1" i="11"/>
  <c r="AZ1" i="11"/>
  <c r="BA1" i="11"/>
  <c r="BB1" i="11"/>
  <c r="BC1" i="11"/>
  <c r="BD1" i="11"/>
  <c r="BE1" i="11"/>
  <c r="BF1" i="11"/>
  <c r="BG1" i="11"/>
  <c r="BH1" i="11"/>
  <c r="BI1" i="11"/>
  <c r="BJ1" i="11"/>
  <c r="BK1" i="11"/>
  <c r="BL1" i="11"/>
  <c r="BM1" i="11"/>
  <c r="BN1" i="11"/>
  <c r="BO1" i="11"/>
  <c r="BP1" i="11"/>
  <c r="BQ1" i="11"/>
  <c r="BR1" i="11"/>
  <c r="BS1" i="11"/>
  <c r="BT1" i="11"/>
  <c r="BU1" i="11"/>
  <c r="BV1" i="11"/>
  <c r="BW1" i="11"/>
  <c r="BX1" i="11"/>
  <c r="BY1" i="11"/>
  <c r="BZ1" i="11"/>
  <c r="CA1" i="11"/>
  <c r="CB1" i="11"/>
  <c r="CC1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30" i="11"/>
  <c r="B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30" i="11"/>
  <c r="A3" i="11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D2" i="12"/>
  <c r="BS1" i="12"/>
  <c r="BT1" i="12"/>
  <c r="BU1" i="12"/>
  <c r="BV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AW1" i="12"/>
  <c r="AX1" i="12"/>
  <c r="AY1" i="12"/>
  <c r="AZ1" i="12"/>
  <c r="BA1" i="12"/>
  <c r="BB1" i="12"/>
  <c r="BC1" i="12"/>
  <c r="BD1" i="12"/>
  <c r="BE1" i="12"/>
  <c r="BF1" i="12"/>
  <c r="BG1" i="12"/>
  <c r="BH1" i="12"/>
  <c r="BI1" i="12"/>
  <c r="BJ1" i="12"/>
  <c r="BK1" i="12"/>
  <c r="BL1" i="12"/>
  <c r="BM1" i="12"/>
  <c r="BN1" i="12"/>
  <c r="BO1" i="12"/>
  <c r="BP1" i="12"/>
  <c r="BQ1" i="12"/>
  <c r="BR1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30" i="12"/>
  <c r="B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30" i="12"/>
  <c r="A3" i="12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BF2" i="10"/>
  <c r="BG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BU2" i="10"/>
  <c r="D2" i="10"/>
  <c r="BO1" i="10"/>
  <c r="BP1" i="10"/>
  <c r="BQ1" i="10"/>
  <c r="BR1" i="10"/>
  <c r="BS1" i="10"/>
  <c r="BT1" i="10"/>
  <c r="BU1" i="10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W1" i="10"/>
  <c r="X1" i="10"/>
  <c r="Y1" i="10"/>
  <c r="Z1" i="10"/>
  <c r="AA1" i="10"/>
  <c r="AB1" i="10"/>
  <c r="AC1" i="10"/>
  <c r="AD1" i="10"/>
  <c r="AE1" i="10"/>
  <c r="AF1" i="10"/>
  <c r="AG1" i="10"/>
  <c r="AH1" i="10"/>
  <c r="AI1" i="10"/>
  <c r="AJ1" i="10"/>
  <c r="AK1" i="10"/>
  <c r="AL1" i="10"/>
  <c r="AM1" i="10"/>
  <c r="AN1" i="10"/>
  <c r="AO1" i="10"/>
  <c r="AP1" i="10"/>
  <c r="AQ1" i="10"/>
  <c r="AR1" i="10"/>
  <c r="AS1" i="10"/>
  <c r="AT1" i="10"/>
  <c r="AU1" i="10"/>
  <c r="AV1" i="10"/>
  <c r="AW1" i="10"/>
  <c r="AX1" i="10"/>
  <c r="AY1" i="10"/>
  <c r="AZ1" i="10"/>
  <c r="BA1" i="10"/>
  <c r="BB1" i="10"/>
  <c r="BC1" i="10"/>
  <c r="BD1" i="10"/>
  <c r="BE1" i="10"/>
  <c r="BF1" i="10"/>
  <c r="BG1" i="10"/>
  <c r="BH1" i="10"/>
  <c r="BI1" i="10"/>
  <c r="BJ1" i="10"/>
  <c r="BK1" i="10"/>
  <c r="BL1" i="10"/>
  <c r="BM1" i="10"/>
  <c r="BN1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30" i="10"/>
  <c r="B3" i="10"/>
  <c r="A30" i="10"/>
  <c r="A31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3" i="10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BJ2" i="9"/>
  <c r="BK2" i="9"/>
  <c r="BL2" i="9"/>
  <c r="BM2" i="9"/>
  <c r="BN2" i="9"/>
  <c r="BO2" i="9"/>
  <c r="BP2" i="9"/>
  <c r="BQ2" i="9"/>
  <c r="BR2" i="9"/>
  <c r="BS2" i="9"/>
  <c r="BT2" i="9"/>
  <c r="BU2" i="9"/>
  <c r="D2" i="9"/>
  <c r="BP1" i="9"/>
  <c r="BQ1" i="9"/>
  <c r="BR1" i="9"/>
  <c r="BS1" i="9"/>
  <c r="BT1" i="9"/>
  <c r="BU1" i="9"/>
  <c r="BV1" i="9"/>
  <c r="BW1" i="9"/>
  <c r="BX1" i="9"/>
  <c r="BY1" i="9"/>
  <c r="BZ1" i="9"/>
  <c r="CA1" i="9"/>
  <c r="CB1" i="9"/>
  <c r="C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V1" i="9"/>
  <c r="W1" i="9"/>
  <c r="X1" i="9"/>
  <c r="Y1" i="9"/>
  <c r="Z1" i="9"/>
  <c r="AA1" i="9"/>
  <c r="AB1" i="9"/>
  <c r="AC1" i="9"/>
  <c r="AD1" i="9"/>
  <c r="AE1" i="9"/>
  <c r="AF1" i="9"/>
  <c r="AG1" i="9"/>
  <c r="AH1" i="9"/>
  <c r="AI1" i="9"/>
  <c r="AJ1" i="9"/>
  <c r="AK1" i="9"/>
  <c r="AL1" i="9"/>
  <c r="AM1" i="9"/>
  <c r="AN1" i="9"/>
  <c r="AO1" i="9"/>
  <c r="AP1" i="9"/>
  <c r="AQ1" i="9"/>
  <c r="AR1" i="9"/>
  <c r="AS1" i="9"/>
  <c r="AT1" i="9"/>
  <c r="AU1" i="9"/>
  <c r="AV1" i="9"/>
  <c r="AW1" i="9"/>
  <c r="AX1" i="9"/>
  <c r="AY1" i="9"/>
  <c r="AZ1" i="9"/>
  <c r="BA1" i="9"/>
  <c r="BB1" i="9"/>
  <c r="BC1" i="9"/>
  <c r="BD1" i="9"/>
  <c r="BE1" i="9"/>
  <c r="BF1" i="9"/>
  <c r="BG1" i="9"/>
  <c r="BH1" i="9"/>
  <c r="BI1" i="9"/>
  <c r="BJ1" i="9"/>
  <c r="BK1" i="9"/>
  <c r="BL1" i="9"/>
  <c r="BM1" i="9"/>
  <c r="BN1" i="9"/>
  <c r="BO1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30" i="9"/>
  <c r="B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30" i="9"/>
  <c r="A3" i="9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BL2" i="15"/>
  <c r="BM2" i="15"/>
  <c r="BN2" i="15"/>
  <c r="BO2" i="15"/>
  <c r="BP2" i="15"/>
  <c r="BQ2" i="15"/>
  <c r="BR2" i="15"/>
  <c r="BS2" i="15"/>
  <c r="BT2" i="15"/>
  <c r="BU2" i="15"/>
  <c r="BV2" i="15"/>
  <c r="D2" i="15"/>
  <c r="BK1" i="15"/>
  <c r="BL1" i="15"/>
  <c r="BM1" i="15"/>
  <c r="BN1" i="15"/>
  <c r="BO1" i="15"/>
  <c r="BP1" i="15"/>
  <c r="BQ1" i="15"/>
  <c r="BR1" i="15"/>
  <c r="BS1" i="15"/>
  <c r="BT1" i="15"/>
  <c r="BU1" i="15"/>
  <c r="BV1" i="15"/>
  <c r="D1" i="15"/>
  <c r="E1" i="15"/>
  <c r="F1" i="15"/>
  <c r="G1" i="15"/>
  <c r="H1" i="15"/>
  <c r="I1" i="15"/>
  <c r="J1" i="15"/>
  <c r="K1" i="15"/>
  <c r="L1" i="15"/>
  <c r="M1" i="15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AP1" i="15"/>
  <c r="AQ1" i="15"/>
  <c r="AR1" i="15"/>
  <c r="AS1" i="15"/>
  <c r="AT1" i="15"/>
  <c r="AU1" i="15"/>
  <c r="AV1" i="15"/>
  <c r="AW1" i="15"/>
  <c r="AX1" i="15"/>
  <c r="AY1" i="15"/>
  <c r="AZ1" i="15"/>
  <c r="BA1" i="15"/>
  <c r="BB1" i="15"/>
  <c r="BC1" i="15"/>
  <c r="BD1" i="15"/>
  <c r="BE1" i="15"/>
  <c r="BF1" i="15"/>
  <c r="BG1" i="15"/>
  <c r="BH1" i="15"/>
  <c r="BI1" i="15"/>
  <c r="BJ1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30" i="15"/>
  <c r="B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30" i="15"/>
  <c r="A31" i="15"/>
  <c r="A3" i="15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D2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D1" i="1"/>
  <c r="E1" i="1"/>
  <c r="F1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0" i="1"/>
  <c r="B3" i="1"/>
  <c r="A30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4" i="1"/>
  <c r="A3" i="1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B31" i="8"/>
  <c r="B30" i="8"/>
  <c r="A30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31" i="7"/>
  <c r="B30" i="7"/>
  <c r="A30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B31" i="5"/>
  <c r="B30" i="5"/>
  <c r="A30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A3" i="4"/>
  <c r="B3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BQ1" i="4"/>
  <c r="BR1" i="4"/>
  <c r="BS1" i="4"/>
  <c r="BT1" i="4"/>
  <c r="BU1" i="4"/>
  <c r="BV1" i="4"/>
  <c r="BW1" i="4"/>
  <c r="BX1" i="4"/>
  <c r="BY1" i="4"/>
  <c r="BZ1" i="4"/>
  <c r="CA1" i="4"/>
  <c r="CB1" i="4"/>
  <c r="CC1" i="4"/>
  <c r="CD1" i="4"/>
  <c r="CE1" i="4"/>
  <c r="CF1" i="4"/>
  <c r="CG1" i="4"/>
  <c r="CH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P1" i="4"/>
  <c r="CH20" i="3" l="1"/>
  <c r="CH19" i="3"/>
  <c r="CG19" i="3"/>
  <c r="CF19" i="3" a="1"/>
  <c r="CF19" i="3" s="1"/>
  <c r="CG20" i="3"/>
  <c r="CF20" i="3" a="1"/>
  <c r="CF20" i="3" s="1"/>
  <c r="CF26" i="3" a="1"/>
  <c r="CF26" i="3" s="1"/>
  <c r="CH30" i="3"/>
  <c r="I31" i="3"/>
  <c r="L31" i="3"/>
  <c r="N31" i="3"/>
  <c r="P31" i="3"/>
  <c r="R31" i="3"/>
  <c r="S31" i="3"/>
  <c r="U31" i="3"/>
  <c r="AA31" i="3"/>
  <c r="AE31" i="3"/>
  <c r="AG31" i="3"/>
  <c r="AI31" i="3"/>
  <c r="AK31" i="3"/>
  <c r="AM31" i="3"/>
  <c r="AO31" i="3"/>
  <c r="AQ31" i="3"/>
  <c r="AS31" i="3"/>
  <c r="AU31" i="3"/>
  <c r="AW31" i="3"/>
  <c r="AY31" i="3"/>
  <c r="BA31" i="3"/>
  <c r="BC31" i="3"/>
  <c r="BE31" i="3"/>
  <c r="BG31" i="3"/>
  <c r="BJ31" i="3"/>
  <c r="BL31" i="3"/>
  <c r="BN31" i="3"/>
  <c r="BQ31" i="3"/>
  <c r="BS31" i="3"/>
  <c r="BV31" i="3"/>
  <c r="J31" i="3"/>
  <c r="K31" i="3"/>
  <c r="M31" i="3"/>
  <c r="O31" i="3"/>
  <c r="Q31" i="3"/>
  <c r="T31" i="3"/>
  <c r="X31" i="3"/>
  <c r="AD31" i="3"/>
  <c r="AF31" i="3"/>
  <c r="AH31" i="3"/>
  <c r="AJ31" i="3"/>
  <c r="AL31" i="3"/>
  <c r="AN31" i="3"/>
  <c r="AP31" i="3"/>
  <c r="AR31" i="3"/>
  <c r="AT31" i="3"/>
  <c r="AV31" i="3"/>
  <c r="AX31" i="3"/>
  <c r="AZ31" i="3"/>
  <c r="BB31" i="3"/>
  <c r="BD31" i="3"/>
  <c r="BF31" i="3"/>
  <c r="BH31" i="3"/>
  <c r="BI31" i="3"/>
  <c r="BK31" i="3"/>
  <c r="BM31" i="3"/>
  <c r="BO31" i="3"/>
  <c r="BP31" i="3"/>
  <c r="BR31" i="3"/>
  <c r="BT31" i="3"/>
  <c r="BW31" i="3"/>
  <c r="G31" i="3"/>
  <c r="CG30" i="3"/>
  <c r="CF30" i="3" a="1"/>
  <c r="CF30" i="3" s="1"/>
  <c r="V31" i="3"/>
  <c r="W31" i="3"/>
  <c r="CF29" i="3" a="1"/>
  <c r="CF29" i="3" s="1"/>
  <c r="H31" i="3"/>
  <c r="CH29" i="3"/>
  <c r="BU31" i="3"/>
  <c r="CG29" i="3"/>
  <c r="Y31" i="3"/>
  <c r="BX31" i="3"/>
  <c r="Z31" i="3"/>
  <c r="BY31" i="3"/>
  <c r="CH4" i="3"/>
  <c r="AC31" i="3"/>
  <c r="F31" i="3"/>
  <c r="AB31" i="3"/>
  <c r="CG4" i="3"/>
  <c r="CF4" i="3" a="1"/>
  <c r="CF4" i="3" s="1"/>
  <c r="CF31" i="3" l="1"/>
  <c r="CH31" i="3"/>
  <c r="CG3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<sst xmlns="http://schemas.openxmlformats.org/spreadsheetml/2006/main" count="275" uniqueCount="73">
  <si>
    <t>Product</t>
  </si>
  <si>
    <t>SWORD</t>
  </si>
  <si>
    <t>TEDS</t>
  </si>
  <si>
    <t>SPEAR</t>
  </si>
  <si>
    <t>InformTN</t>
  </si>
  <si>
    <t>Accountability</t>
  </si>
  <si>
    <t>ECEDS</t>
  </si>
  <si>
    <t>URS</t>
  </si>
  <si>
    <t>CCR</t>
  </si>
  <si>
    <t>CCMS</t>
  </si>
  <si>
    <t>TNSD</t>
  </si>
  <si>
    <t>TN Portfolio</t>
  </si>
  <si>
    <t>School Nutrition</t>
  </si>
  <si>
    <t>TN TAN</t>
  </si>
  <si>
    <t>OAT/BFAC</t>
  </si>
  <si>
    <t>P20 (CEDS, CCWIS)</t>
  </si>
  <si>
    <t>ePlan</t>
  </si>
  <si>
    <t>Enterprise Reporting</t>
  </si>
  <si>
    <t>EPSO</t>
  </si>
  <si>
    <t>FutureReady</t>
  </si>
  <si>
    <t>Assessment</t>
  </si>
  <si>
    <t>TN Pulse</t>
  </si>
  <si>
    <t>TN Atlas</t>
  </si>
  <si>
    <t>TN Compass</t>
  </si>
  <si>
    <t>Core Infrastructure</t>
  </si>
  <si>
    <t xml:space="preserve">Cohort </t>
  </si>
  <si>
    <t>CSH Survey</t>
  </si>
  <si>
    <t>Totals</t>
  </si>
  <si>
    <t>Role</t>
  </si>
  <si>
    <t>Hire Type</t>
  </si>
  <si>
    <t>Contractor Name</t>
  </si>
  <si>
    <t>bill rate</t>
  </si>
  <si>
    <t>Net New</t>
  </si>
  <si>
    <t>Enhance Existing</t>
  </si>
  <si>
    <t>Maintenance</t>
  </si>
  <si>
    <t>Net New Hours</t>
  </si>
  <si>
    <t>Enhance Existing Hours</t>
  </si>
  <si>
    <t>Maintenance Hours</t>
  </si>
  <si>
    <t>Sr. Dev</t>
  </si>
  <si>
    <t>Contractor</t>
  </si>
  <si>
    <t>Steven McKee</t>
  </si>
  <si>
    <t>Dev</t>
  </si>
  <si>
    <t xml:space="preserve">Pooja </t>
  </si>
  <si>
    <t>FTE</t>
  </si>
  <si>
    <t xml:space="preserve">Tony </t>
  </si>
  <si>
    <t>Lalitha</t>
  </si>
  <si>
    <t>Greg Marcum</t>
  </si>
  <si>
    <t>Simrath</t>
  </si>
  <si>
    <t>Sriram</t>
  </si>
  <si>
    <t>Justin Meshew</t>
  </si>
  <si>
    <t>Ryan Dailey</t>
  </si>
  <si>
    <t>Dean Bowles</t>
  </si>
  <si>
    <t>Donnie</t>
  </si>
  <si>
    <t>Mark</t>
  </si>
  <si>
    <t>Kasey Goodwin</t>
  </si>
  <si>
    <t>Greg Brethen</t>
  </si>
  <si>
    <t xml:space="preserve">QA </t>
  </si>
  <si>
    <t>Jackie Zweck</t>
  </si>
  <si>
    <t>Thanuja Bachala</t>
  </si>
  <si>
    <t>Neeharika Gadela</t>
  </si>
  <si>
    <t>Akhil Musani</t>
  </si>
  <si>
    <t>Eunice Jallah</t>
  </si>
  <si>
    <t>Meera Mehta</t>
  </si>
  <si>
    <t>Rojina Thapa</t>
  </si>
  <si>
    <t>Pankaj Kokate</t>
  </si>
  <si>
    <t>Catherine Horton</t>
  </si>
  <si>
    <t xml:space="preserve">Product </t>
  </si>
  <si>
    <t>Latha Ramasamy</t>
  </si>
  <si>
    <t>Claire Smith-Edwards</t>
  </si>
  <si>
    <t>Vinay Sunkyredi</t>
  </si>
  <si>
    <t>Dev Ops</t>
  </si>
  <si>
    <t>Gunter</t>
  </si>
  <si>
    <t>Zack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</si>
</sst>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1" fontId="0" fillId="0" borderId="0" xfId="0" applyNumberFormat="1"/>
    <xf numFmtId="1" fontId="0" fillId="2" borderId="0" xfId="0" applyNumberFormat="1" applyFill="1"/>
    <xf numFmtId="0" fontId="1" fillId="0" borderId="1" xfId="0" applyFont="1" applyBorder="1" applyAlignment="1">
      <alignment textRotation="90"/>
    </xf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1" fontId="0" fillId="2" borderId="1" xfId="0" applyNumberFormat="1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4393-A77A-4CD8-B756-EB1F553CA0B3}">
  <dimension ref="A1:CH31"/>
  <sheetViews>
    <sheetView workbookViewId="0">
      <pane xSplit="4" ySplit="1" topLeftCell="E3" activePane="bottomRight" state="frozen"/>
      <selection pane="bottomRight" activeCell="CF31" sqref="CF31"/>
      <selection pane="bottomLeft" activeCell="A2" sqref="A2"/>
      <selection pane="topRight" activeCell="E1" sqref="E1"/>
    </sheetView>
  </sheetViews>
  <sheetFormatPr defaultColWidth="11" defaultRowHeight="15.75" customHeight="1"/>
  <cols>
    <col min="1" max="1" width="7.875" bestFit="1" customWidth="1"/>
    <col min="2" max="2" width="10.125" bestFit="1" customWidth="1"/>
    <col min="3" max="3" width="18.875" bestFit="1" customWidth="1"/>
    <col min="4" max="4" width="9" bestFit="1" customWidth="1"/>
    <col min="5" max="5" width="3.625" bestFit="1" customWidth="1"/>
    <col min="6" max="6" width="8.125" bestFit="1" customWidth="1"/>
    <col min="7" max="7" width="15" bestFit="1" customWidth="1"/>
    <col min="8" max="8" width="11.875" bestFit="1" customWidth="1"/>
    <col min="9" max="9" width="8.125" bestFit="1" customWidth="1"/>
    <col min="10" max="10" width="15" bestFit="1" customWidth="1"/>
    <col min="11" max="11" width="11.875" bestFit="1" customWidth="1"/>
    <col min="12" max="12" width="8.125" bestFit="1" customWidth="1"/>
    <col min="13" max="13" width="15" bestFit="1" customWidth="1"/>
    <col min="14" max="14" width="11.875" bestFit="1" customWidth="1"/>
    <col min="15" max="15" width="8.125" bestFit="1" customWidth="1"/>
    <col min="16" max="16" width="15" bestFit="1" customWidth="1"/>
    <col min="17" max="17" width="11.875" bestFit="1" customWidth="1"/>
    <col min="18" max="18" width="8.125" bestFit="1" customWidth="1"/>
    <col min="19" max="19" width="15" bestFit="1" customWidth="1"/>
    <col min="20" max="20" width="11.875" bestFit="1" customWidth="1"/>
    <col min="21" max="21" width="8.125" bestFit="1" customWidth="1"/>
    <col min="22" max="22" width="15" bestFit="1" customWidth="1"/>
    <col min="23" max="23" width="11.875" bestFit="1" customWidth="1"/>
    <col min="24" max="24" width="8.125" bestFit="1" customWidth="1"/>
    <col min="25" max="25" width="15" bestFit="1" customWidth="1"/>
    <col min="26" max="26" width="11.875" bestFit="1" customWidth="1"/>
    <col min="27" max="27" width="8.125" bestFit="1" customWidth="1"/>
    <col min="28" max="28" width="15" bestFit="1" customWidth="1"/>
    <col min="29" max="29" width="11.875" bestFit="1" customWidth="1"/>
    <col min="30" max="30" width="8.125" bestFit="1" customWidth="1"/>
    <col min="31" max="31" width="15" bestFit="1" customWidth="1"/>
    <col min="32" max="32" width="11.875" bestFit="1" customWidth="1"/>
    <col min="33" max="33" width="8.125" bestFit="1" customWidth="1"/>
    <col min="34" max="34" width="15" bestFit="1" customWidth="1"/>
    <col min="35" max="35" width="11.875" bestFit="1" customWidth="1"/>
    <col min="36" max="36" width="8.125" bestFit="1" customWidth="1"/>
    <col min="37" max="37" width="15" bestFit="1" customWidth="1"/>
    <col min="38" max="38" width="11.875" bestFit="1" customWidth="1"/>
    <col min="39" max="39" width="8.125" bestFit="1" customWidth="1"/>
    <col min="40" max="40" width="15" bestFit="1" customWidth="1"/>
    <col min="41" max="41" width="11.875" bestFit="1" customWidth="1"/>
    <col min="42" max="42" width="8.125" bestFit="1" customWidth="1"/>
    <col min="43" max="43" width="15" bestFit="1" customWidth="1"/>
    <col min="44" max="44" width="11.875" bestFit="1" customWidth="1"/>
    <col min="45" max="45" width="8.125" bestFit="1" customWidth="1"/>
    <col min="46" max="46" width="15" bestFit="1" customWidth="1"/>
    <col min="47" max="47" width="11.875" bestFit="1" customWidth="1"/>
    <col min="48" max="48" width="8.125" bestFit="1" customWidth="1"/>
    <col min="49" max="49" width="15" bestFit="1" customWidth="1"/>
    <col min="50" max="50" width="11.875" bestFit="1" customWidth="1"/>
    <col min="51" max="51" width="8.125" bestFit="1" customWidth="1"/>
    <col min="52" max="52" width="15" bestFit="1" customWidth="1"/>
    <col min="53" max="53" width="11.875" bestFit="1" customWidth="1"/>
    <col min="54" max="54" width="8.125" bestFit="1" customWidth="1"/>
    <col min="55" max="55" width="15" bestFit="1" customWidth="1"/>
    <col min="56" max="56" width="11.875" bestFit="1" customWidth="1"/>
    <col min="57" max="57" width="8.125" bestFit="1" customWidth="1"/>
    <col min="58" max="58" width="15" bestFit="1" customWidth="1"/>
    <col min="59" max="59" width="11.875" bestFit="1" customWidth="1"/>
    <col min="60" max="60" width="8.125" bestFit="1" customWidth="1"/>
    <col min="61" max="61" width="15" bestFit="1" customWidth="1"/>
    <col min="62" max="62" width="11.875" bestFit="1" customWidth="1"/>
    <col min="63" max="63" width="8.125" bestFit="1" customWidth="1"/>
    <col min="64" max="64" width="15" bestFit="1" customWidth="1"/>
    <col min="65" max="65" width="11.875" bestFit="1" customWidth="1"/>
    <col min="66" max="66" width="8.125" bestFit="1" customWidth="1"/>
    <col min="67" max="67" width="15" bestFit="1" customWidth="1"/>
    <col min="68" max="68" width="11.875" bestFit="1" customWidth="1"/>
    <col min="69" max="69" width="8.125" bestFit="1" customWidth="1"/>
    <col min="70" max="70" width="15" bestFit="1" customWidth="1"/>
    <col min="71" max="71" width="11.875" bestFit="1" customWidth="1"/>
    <col min="72" max="72" width="8.125" bestFit="1" customWidth="1"/>
    <col min="73" max="73" width="15" bestFit="1" customWidth="1"/>
    <col min="74" max="74" width="11.875" bestFit="1" customWidth="1"/>
    <col min="75" max="75" width="8.125" bestFit="1" customWidth="1"/>
    <col min="76" max="76" width="15" bestFit="1" customWidth="1"/>
    <col min="77" max="77" width="11.875" bestFit="1" customWidth="1"/>
    <col min="78" max="78" width="8.125" bestFit="1" customWidth="1"/>
    <col min="79" max="79" width="15" bestFit="1" customWidth="1"/>
    <col min="80" max="80" width="11.875" bestFit="1" customWidth="1"/>
    <col min="81" max="81" width="8.125" bestFit="1" customWidth="1"/>
    <col min="82" max="82" width="15" bestFit="1" customWidth="1"/>
    <col min="83" max="83" width="11.875" bestFit="1" customWidth="1"/>
    <col min="84" max="84" width="13.5" bestFit="1" customWidth="1"/>
    <col min="85" max="85" width="20.5" bestFit="1" customWidth="1"/>
    <col min="86" max="86" width="17.375" bestFit="1" customWidth="1"/>
    <col min="87" max="87" width="15" customWidth="1"/>
  </cols>
  <sheetData>
    <row r="1" spans="1:86" s="2" customFormat="1" ht="108.95">
      <c r="A1" s="5"/>
      <c r="B1" s="5"/>
      <c r="C1" s="5"/>
      <c r="D1" s="5"/>
      <c r="E1" s="5" t="s">
        <v>0</v>
      </c>
      <c r="F1" s="5" t="s">
        <v>1</v>
      </c>
      <c r="G1" s="5" t="s">
        <v>1</v>
      </c>
      <c r="H1" s="5" t="s">
        <v>1</v>
      </c>
      <c r="I1" s="5" t="s">
        <v>2</v>
      </c>
      <c r="J1" s="5" t="s">
        <v>2</v>
      </c>
      <c r="K1" s="5" t="s">
        <v>2</v>
      </c>
      <c r="L1" s="5" t="s">
        <v>3</v>
      </c>
      <c r="M1" s="5" t="s">
        <v>3</v>
      </c>
      <c r="N1" s="5" t="s">
        <v>3</v>
      </c>
      <c r="O1" s="5" t="s">
        <v>4</v>
      </c>
      <c r="P1" s="5" t="s">
        <v>4</v>
      </c>
      <c r="Q1" s="5" t="s">
        <v>4</v>
      </c>
      <c r="R1" s="5" t="s">
        <v>5</v>
      </c>
      <c r="S1" s="5" t="s">
        <v>5</v>
      </c>
      <c r="T1" s="5" t="s">
        <v>5</v>
      </c>
      <c r="U1" s="5" t="s">
        <v>6</v>
      </c>
      <c r="V1" s="5" t="s">
        <v>6</v>
      </c>
      <c r="W1" s="5" t="s">
        <v>6</v>
      </c>
      <c r="X1" s="5" t="s">
        <v>7</v>
      </c>
      <c r="Y1" s="5" t="s">
        <v>7</v>
      </c>
      <c r="Z1" s="5" t="s">
        <v>7</v>
      </c>
      <c r="AA1" s="5" t="s">
        <v>8</v>
      </c>
      <c r="AB1" s="5" t="s">
        <v>8</v>
      </c>
      <c r="AC1" s="5" t="s">
        <v>8</v>
      </c>
      <c r="AD1" s="5" t="s">
        <v>9</v>
      </c>
      <c r="AE1" s="5" t="s">
        <v>9</v>
      </c>
      <c r="AF1" s="5" t="s">
        <v>9</v>
      </c>
      <c r="AG1" s="5" t="s">
        <v>10</v>
      </c>
      <c r="AH1" s="5" t="s">
        <v>10</v>
      </c>
      <c r="AI1" s="5" t="s">
        <v>10</v>
      </c>
      <c r="AJ1" s="5" t="s">
        <v>11</v>
      </c>
      <c r="AK1" s="5" t="s">
        <v>11</v>
      </c>
      <c r="AL1" s="5" t="s">
        <v>11</v>
      </c>
      <c r="AM1" s="5" t="s">
        <v>12</v>
      </c>
      <c r="AN1" s="5" t="s">
        <v>12</v>
      </c>
      <c r="AO1" s="5" t="s">
        <v>12</v>
      </c>
      <c r="AP1" s="5" t="s">
        <v>13</v>
      </c>
      <c r="AQ1" s="5" t="s">
        <v>13</v>
      </c>
      <c r="AR1" s="5" t="s">
        <v>13</v>
      </c>
      <c r="AS1" s="5" t="s">
        <v>14</v>
      </c>
      <c r="AT1" s="5" t="s">
        <v>14</v>
      </c>
      <c r="AU1" s="5" t="s">
        <v>14</v>
      </c>
      <c r="AV1" s="5" t="s">
        <v>15</v>
      </c>
      <c r="AW1" s="5" t="s">
        <v>15</v>
      </c>
      <c r="AX1" s="5" t="s">
        <v>15</v>
      </c>
      <c r="AY1" s="5" t="s">
        <v>16</v>
      </c>
      <c r="AZ1" s="5" t="s">
        <v>16</v>
      </c>
      <c r="BA1" s="5" t="s">
        <v>16</v>
      </c>
      <c r="BB1" s="5" t="s">
        <v>17</v>
      </c>
      <c r="BC1" s="5" t="s">
        <v>17</v>
      </c>
      <c r="BD1" s="5" t="s">
        <v>17</v>
      </c>
      <c r="BE1" s="5" t="s">
        <v>18</v>
      </c>
      <c r="BF1" s="5" t="s">
        <v>18</v>
      </c>
      <c r="BG1" s="5" t="s">
        <v>18</v>
      </c>
      <c r="BH1" s="5" t="s">
        <v>19</v>
      </c>
      <c r="BI1" s="5" t="s">
        <v>19</v>
      </c>
      <c r="BJ1" s="5" t="s">
        <v>19</v>
      </c>
      <c r="BK1" s="5" t="s">
        <v>20</v>
      </c>
      <c r="BL1" s="5" t="s">
        <v>20</v>
      </c>
      <c r="BM1" s="5" t="s">
        <v>20</v>
      </c>
      <c r="BN1" s="5" t="s">
        <v>21</v>
      </c>
      <c r="BO1" s="5" t="s">
        <v>21</v>
      </c>
      <c r="BP1" s="5" t="s">
        <v>21</v>
      </c>
      <c r="BQ1" s="5" t="s">
        <v>22</v>
      </c>
      <c r="BR1" s="5" t="s">
        <v>22</v>
      </c>
      <c r="BS1" s="5" t="s">
        <v>22</v>
      </c>
      <c r="BT1" s="5" t="s">
        <v>23</v>
      </c>
      <c r="BU1" s="5" t="s">
        <v>23</v>
      </c>
      <c r="BV1" s="5" t="s">
        <v>23</v>
      </c>
      <c r="BW1" s="5" t="s">
        <v>24</v>
      </c>
      <c r="BX1" s="5" t="s">
        <v>24</v>
      </c>
      <c r="BY1" s="5" t="s">
        <v>24</v>
      </c>
      <c r="BZ1" s="5" t="s">
        <v>25</v>
      </c>
      <c r="CA1" s="5" t="s">
        <v>25</v>
      </c>
      <c r="CB1" s="5" t="s">
        <v>25</v>
      </c>
      <c r="CC1" s="5" t="s">
        <v>26</v>
      </c>
      <c r="CD1" s="5" t="s">
        <v>26</v>
      </c>
      <c r="CE1" s="5" t="s">
        <v>26</v>
      </c>
      <c r="CF1" s="5" t="s">
        <v>27</v>
      </c>
      <c r="CG1" s="2" t="s">
        <v>27</v>
      </c>
      <c r="CH1" s="2" t="s">
        <v>27</v>
      </c>
    </row>
    <row r="2" spans="1:86" s="1" customFormat="1" ht="17.100000000000001">
      <c r="A2" s="6" t="s">
        <v>28</v>
      </c>
      <c r="B2" s="10" t="s">
        <v>29</v>
      </c>
      <c r="C2" s="6" t="s">
        <v>30</v>
      </c>
      <c r="D2" s="6" t="s">
        <v>31</v>
      </c>
      <c r="E2" s="6"/>
      <c r="F2" s="6" t="s">
        <v>32</v>
      </c>
      <c r="G2" s="6" t="s">
        <v>33</v>
      </c>
      <c r="H2" s="6" t="s">
        <v>34</v>
      </c>
      <c r="I2" s="6" t="s">
        <v>32</v>
      </c>
      <c r="J2" s="6" t="s">
        <v>33</v>
      </c>
      <c r="K2" s="6" t="s">
        <v>34</v>
      </c>
      <c r="L2" s="6" t="s">
        <v>32</v>
      </c>
      <c r="M2" s="6" t="s">
        <v>33</v>
      </c>
      <c r="N2" s="6" t="s">
        <v>34</v>
      </c>
      <c r="O2" s="6" t="s">
        <v>32</v>
      </c>
      <c r="P2" s="6" t="s">
        <v>33</v>
      </c>
      <c r="Q2" s="6" t="s">
        <v>34</v>
      </c>
      <c r="R2" s="6" t="s">
        <v>32</v>
      </c>
      <c r="S2" s="6" t="s">
        <v>33</v>
      </c>
      <c r="T2" s="6" t="s">
        <v>34</v>
      </c>
      <c r="U2" s="6" t="s">
        <v>32</v>
      </c>
      <c r="V2" s="6" t="s">
        <v>33</v>
      </c>
      <c r="W2" s="6" t="s">
        <v>34</v>
      </c>
      <c r="X2" s="6" t="s">
        <v>32</v>
      </c>
      <c r="Y2" s="6" t="s">
        <v>33</v>
      </c>
      <c r="Z2" s="6" t="s">
        <v>34</v>
      </c>
      <c r="AA2" s="6" t="s">
        <v>32</v>
      </c>
      <c r="AB2" s="6" t="s">
        <v>33</v>
      </c>
      <c r="AC2" s="6" t="s">
        <v>34</v>
      </c>
      <c r="AD2" s="6" t="s">
        <v>32</v>
      </c>
      <c r="AE2" s="6" t="s">
        <v>33</v>
      </c>
      <c r="AF2" s="6" t="s">
        <v>34</v>
      </c>
      <c r="AG2" s="6" t="s">
        <v>32</v>
      </c>
      <c r="AH2" s="6" t="s">
        <v>33</v>
      </c>
      <c r="AI2" s="6" t="s">
        <v>34</v>
      </c>
      <c r="AJ2" s="6" t="s">
        <v>32</v>
      </c>
      <c r="AK2" s="6" t="s">
        <v>33</v>
      </c>
      <c r="AL2" s="6" t="s">
        <v>34</v>
      </c>
      <c r="AM2" s="6" t="s">
        <v>32</v>
      </c>
      <c r="AN2" s="6" t="s">
        <v>33</v>
      </c>
      <c r="AO2" s="6" t="s">
        <v>34</v>
      </c>
      <c r="AP2" s="6" t="s">
        <v>32</v>
      </c>
      <c r="AQ2" s="6" t="s">
        <v>33</v>
      </c>
      <c r="AR2" s="6" t="s">
        <v>34</v>
      </c>
      <c r="AS2" s="6" t="s">
        <v>32</v>
      </c>
      <c r="AT2" s="6" t="s">
        <v>33</v>
      </c>
      <c r="AU2" s="6" t="s">
        <v>34</v>
      </c>
      <c r="AV2" s="6" t="s">
        <v>32</v>
      </c>
      <c r="AW2" s="6" t="s">
        <v>33</v>
      </c>
      <c r="AX2" s="6" t="s">
        <v>34</v>
      </c>
      <c r="AY2" s="6" t="s">
        <v>32</v>
      </c>
      <c r="AZ2" s="6" t="s">
        <v>33</v>
      </c>
      <c r="BA2" s="6" t="s">
        <v>34</v>
      </c>
      <c r="BB2" s="6" t="s">
        <v>32</v>
      </c>
      <c r="BC2" s="6" t="s">
        <v>33</v>
      </c>
      <c r="BD2" s="6" t="s">
        <v>34</v>
      </c>
      <c r="BE2" s="6" t="s">
        <v>32</v>
      </c>
      <c r="BF2" s="6" t="s">
        <v>33</v>
      </c>
      <c r="BG2" s="6" t="s">
        <v>34</v>
      </c>
      <c r="BH2" s="6" t="s">
        <v>32</v>
      </c>
      <c r="BI2" s="6" t="s">
        <v>33</v>
      </c>
      <c r="BJ2" s="6" t="s">
        <v>34</v>
      </c>
      <c r="BK2" s="6" t="s">
        <v>32</v>
      </c>
      <c r="BL2" s="6" t="s">
        <v>33</v>
      </c>
      <c r="BM2" s="6" t="s">
        <v>34</v>
      </c>
      <c r="BN2" s="6" t="s">
        <v>32</v>
      </c>
      <c r="BO2" s="6" t="s">
        <v>33</v>
      </c>
      <c r="BP2" s="6" t="s">
        <v>34</v>
      </c>
      <c r="BQ2" s="6" t="s">
        <v>32</v>
      </c>
      <c r="BR2" s="6" t="s">
        <v>33</v>
      </c>
      <c r="BS2" s="6" t="s">
        <v>34</v>
      </c>
      <c r="BT2" s="6" t="s">
        <v>32</v>
      </c>
      <c r="BU2" s="6" t="s">
        <v>33</v>
      </c>
      <c r="BV2" s="6" t="s">
        <v>34</v>
      </c>
      <c r="BW2" s="6" t="s">
        <v>32</v>
      </c>
      <c r="BX2" s="6" t="s">
        <v>33</v>
      </c>
      <c r="BY2" s="6" t="s">
        <v>34</v>
      </c>
      <c r="BZ2" s="6" t="s">
        <v>32</v>
      </c>
      <c r="CA2" s="6" t="s">
        <v>33</v>
      </c>
      <c r="CB2" s="6" t="s">
        <v>34</v>
      </c>
      <c r="CC2" s="6" t="s">
        <v>32</v>
      </c>
      <c r="CD2" s="6" t="s">
        <v>33</v>
      </c>
      <c r="CE2" s="6" t="s">
        <v>34</v>
      </c>
      <c r="CF2" s="6" t="s">
        <v>35</v>
      </c>
      <c r="CG2" s="1" t="s">
        <v>36</v>
      </c>
      <c r="CH2" s="1" t="s">
        <v>37</v>
      </c>
    </row>
    <row r="3" spans="1:86" ht="17.100000000000001">
      <c r="A3" s="7" t="s">
        <v>38</v>
      </c>
      <c r="B3" s="11" t="s">
        <v>39</v>
      </c>
      <c r="C3" s="7" t="s">
        <v>40</v>
      </c>
      <c r="D3" s="12">
        <v>148.125</v>
      </c>
      <c r="E3" s="7"/>
      <c r="F3" s="7">
        <f>'July 25'!D3 + 'August 25'!D3 +'Sept 25'!D3 + 'Oct 25'!D3 + 'Nov 25'!D3+ 'Dec 25'!D3 +'Jan 26'!D3+'Feb 26'!D3+'March 26'!D3+'April 26'!D3+'May 26'!D3+'June 26'!D3</f>
        <v>0</v>
      </c>
      <c r="G3" s="7">
        <f>'July 25'!E3 + 'August 25'!E3 +'Sept 25'!E3 + 'Oct 25'!E3 + 'Nov 25'!E3+ 'Dec 25'!E3 +'Jan 26'!E3+'Feb 26'!E3+'March 26'!E3+'April 26'!E3+'May 26'!E3+'June 26'!E3</f>
        <v>0</v>
      </c>
      <c r="H3" s="7">
        <f>'July 25'!F3 + 'August 25'!F3 +'Sept 25'!F3 + 'Oct 25'!F3 + 'Nov 25'!F3+ 'Dec 25'!F3 +'Jan 26'!F3+'Feb 26'!F3+'March 26'!F3+'April 26'!F3+'May 26'!F3+'June 26'!F3</f>
        <v>0</v>
      </c>
      <c r="I3" s="7">
        <f>'July 25'!G3 + 'August 25'!G3 +'Sept 25'!G3 + 'Oct 25'!G3 + 'Nov 25'!G3+ 'Dec 25'!G3 +'Jan 26'!G3+'Feb 26'!G3+'March 26'!G3+'April 26'!G3+'May 26'!G3+'June 26'!G3</f>
        <v>1440</v>
      </c>
      <c r="J3" s="7">
        <f>'July 25'!H3 + 'August 25'!H3 +'Sept 25'!H3 + 'Oct 25'!H3 + 'Nov 25'!H3+ 'Dec 25'!H3 +'Jan 26'!H3+'Feb 26'!H3+'March 26'!H3+'April 26'!H3+'May 26'!H3+'June 26'!H3</f>
        <v>0</v>
      </c>
      <c r="K3" s="7">
        <f>'July 25'!I3 + 'August 25'!I3 +'Sept 25'!I3 + 'Oct 25'!I3 + 'Nov 25'!I3+ 'Dec 25'!I3 +'Jan 26'!I3+'Feb 26'!I3+'March 26'!I3+'April 26'!I3+'May 26'!I3+'June 26'!I3</f>
        <v>0</v>
      </c>
      <c r="L3" s="7">
        <f>'July 25'!J3 + 'August 25'!J3 +'Sept 25'!J3 + 'Oct 25'!J3 + 'Nov 25'!J3+ 'Dec 25'!J3 +'Jan 26'!J3+'Feb 26'!J3+'March 26'!J3+'April 26'!J3+'May 26'!J3+'June 26'!J3</f>
        <v>0</v>
      </c>
      <c r="M3" s="7">
        <f>'July 25'!K3 + 'August 25'!K3 +'Sept 25'!K3 + 'Oct 25'!K3 + 'Nov 25'!K3+ 'Dec 25'!K3 +'Jan 26'!K3+'Feb 26'!K3+'March 26'!K3+'April 26'!K3+'May 26'!K3+'June 26'!K3</f>
        <v>0</v>
      </c>
      <c r="N3" s="7">
        <f>'July 25'!L3 + 'August 25'!L3 +'Sept 25'!L3 + 'Oct 25'!L3 + 'Nov 25'!L3+ 'Dec 25'!L3 +'Jan 26'!L3+'Feb 26'!L3+'March 26'!L3+'April 26'!L3+'May 26'!L3+'June 26'!L3</f>
        <v>0</v>
      </c>
      <c r="O3" s="7">
        <f>'July 25'!M3 + 'August 25'!M3 +'Sept 25'!M3 + 'Oct 25'!M3 + 'Nov 25'!M3+ 'Dec 25'!M3 +'Jan 26'!M3+'Feb 26'!M3+'March 26'!M3+'April 26'!M3+'May 26'!M3+'June 26'!M3</f>
        <v>0</v>
      </c>
      <c r="P3" s="7">
        <f>'July 25'!N3 + 'August 25'!N3 +'Sept 25'!N3 + 'Oct 25'!N3 + 'Nov 25'!N3+ 'Dec 25'!N3 +'Jan 26'!N3+'Feb 26'!N3+'March 26'!N3+'April 26'!N3+'May 26'!N3+'June 26'!N3</f>
        <v>0</v>
      </c>
      <c r="Q3" s="7">
        <f>'July 25'!O3 + 'August 25'!O3 +'Sept 25'!O3 + 'Oct 25'!O3 + 'Nov 25'!O3+ 'Dec 25'!O3 +'Jan 26'!O3+'Feb 26'!O3+'March 26'!O3+'April 26'!O3+'May 26'!O3+'June 26'!O3</f>
        <v>0</v>
      </c>
      <c r="R3" s="7">
        <f>'July 25'!P3 + 'August 25'!P3 +'Sept 25'!P3 + 'Oct 25'!P3 + 'Nov 25'!P3+ 'Dec 25'!P3 +'Jan 26'!P3+'Feb 26'!P3+'March 26'!P3+'April 26'!P3+'May 26'!P3+'June 26'!P3</f>
        <v>0</v>
      </c>
      <c r="S3" s="7">
        <f>'July 25'!Q3 + 'August 25'!Q3 +'Sept 25'!Q3 + 'Oct 25'!Q3 + 'Nov 25'!Q3+ 'Dec 25'!Q3 +'Jan 26'!Q3+'Feb 26'!Q3+'March 26'!Q3+'April 26'!Q3+'May 26'!Q3+'June 26'!Q3</f>
        <v>0</v>
      </c>
      <c r="T3" s="7">
        <f>'July 25'!R3 + 'August 25'!R3 +'Sept 25'!R3 + 'Oct 25'!R3 + 'Nov 25'!R3+ 'Dec 25'!R3 +'Jan 26'!R3+'Feb 26'!R3+'March 26'!R3+'April 26'!R3+'May 26'!R3+'June 26'!R3</f>
        <v>0</v>
      </c>
      <c r="U3" s="7">
        <f>'July 25'!S3 + 'August 25'!S3 +'Sept 25'!S3 + 'Oct 25'!S3 + 'Nov 25'!S3+ 'Dec 25'!S3 +'Jan 26'!S3+'Feb 26'!S3+'March 26'!S3+'April 26'!S3+'May 26'!S3+'June 26'!S3</f>
        <v>0</v>
      </c>
      <c r="V3" s="7">
        <f>'July 25'!T3 + 'August 25'!T3 +'Sept 25'!T3 + 'Oct 25'!T3 + 'Nov 25'!T3+ 'Dec 25'!T3 +'Jan 26'!T3+'Feb 26'!T3+'March 26'!T3+'April 26'!T3+'May 26'!T3+'June 26'!T3</f>
        <v>0</v>
      </c>
      <c r="W3" s="7">
        <f>'July 25'!U3 + 'August 25'!U3 +'Sept 25'!U3 + 'Oct 25'!U3 + 'Nov 25'!U3+ 'Dec 25'!U3 +'Jan 26'!U3+'Feb 26'!U3+'March 26'!U3+'April 26'!U3+'May 26'!U3+'June 26'!U3</f>
        <v>0</v>
      </c>
      <c r="X3" s="7">
        <f>'July 25'!V3 + 'August 25'!V3 +'Sept 25'!V3 + 'Oct 25'!V3 + 'Nov 25'!V3+ 'Dec 25'!V3 +'Jan 26'!V3+'Feb 26'!V3+'March 26'!V3+'April 26'!V3+'May 26'!V3+'June 26'!V3</f>
        <v>0</v>
      </c>
      <c r="Y3" s="7">
        <f>'July 25'!W3 + 'August 25'!W3 +'Sept 25'!W3 + 'Oct 25'!W3 + 'Nov 25'!W3+ 'Dec 25'!W3 +'Jan 26'!W3+'Feb 26'!W3+'March 26'!W3+'April 26'!W3+'May 26'!W3+'June 26'!W3</f>
        <v>0</v>
      </c>
      <c r="Z3" s="7">
        <f>'July 25'!X3 + 'August 25'!X3 +'Sept 25'!X3 + 'Oct 25'!X3 + 'Nov 25'!X3+ 'Dec 25'!X3 +'Jan 26'!X3+'Feb 26'!X3+'March 26'!X3+'April 26'!X3+'May 26'!X3+'June 26'!X3</f>
        <v>0</v>
      </c>
      <c r="AA3" s="7">
        <f>'July 25'!Y3 + 'August 25'!Y3 +'Sept 25'!Y3 + 'Oct 25'!Y3 + 'Nov 25'!Y3+ 'Dec 25'!Y3 +'Jan 26'!Y3+'Feb 26'!Y3+'March 26'!Y3+'April 26'!Y3+'May 26'!Y3+'June 26'!Y3</f>
        <v>0</v>
      </c>
      <c r="AB3" s="7">
        <f>'July 25'!Z3 + 'August 25'!Z3 +'Sept 25'!Z3 + 'Oct 25'!Z3 + 'Nov 25'!Z3+ 'Dec 25'!Z3 +'Jan 26'!Z3+'Feb 26'!Z3+'March 26'!Z3+'April 26'!Z3+'May 26'!Z3+'June 26'!Z3</f>
        <v>0</v>
      </c>
      <c r="AC3" s="7">
        <f>'July 25'!AA3 + 'August 25'!AA3 +'Sept 25'!AA3 + 'Oct 25'!AA3 + 'Nov 25'!AA3+ 'Dec 25'!AA3 +'Jan 26'!AA3+'Feb 26'!AA3+'March 26'!AA3+'April 26'!AA3+'May 26'!AA3+'June 26'!AA3</f>
        <v>0</v>
      </c>
      <c r="AD3" s="7">
        <f>'July 25'!AB3 + 'August 25'!AB3 +'Sept 25'!AB3 + 'Oct 25'!AB3 + 'Nov 25'!AB3+ 'Dec 25'!AB3 +'Jan 26'!AB3+'Feb 26'!AB3+'March 26'!AB3+'April 26'!AB3+'May 26'!AB3+'June 26'!AB3</f>
        <v>0</v>
      </c>
      <c r="AE3" s="7">
        <f>'July 25'!AC3 + 'August 25'!AC3 +'Sept 25'!AC3 + 'Oct 25'!AC3 + 'Nov 25'!AC3+ 'Dec 25'!AC3 +'Jan 26'!AC3+'Feb 26'!AC3+'March 26'!AC3+'April 26'!AC3+'May 26'!AC3+'June 26'!AC3</f>
        <v>0</v>
      </c>
      <c r="AF3" s="7">
        <f>'July 25'!AD3 + 'August 25'!AD3 +'Sept 25'!AD3 + 'Oct 25'!AD3 + 'Nov 25'!AD3+ 'Dec 25'!AD3 +'Jan 26'!AD3+'Feb 26'!AD3+'March 26'!AD3+'April 26'!AD3+'May 26'!AD3+'June 26'!AD3</f>
        <v>0</v>
      </c>
      <c r="AG3" s="7">
        <f>'July 25'!AE3 + 'August 25'!AE3 +'Sept 25'!AE3 + 'Oct 25'!AE3 + 'Nov 25'!AE3+ 'Dec 25'!AE3 +'Jan 26'!AE3+'Feb 26'!AE3+'March 26'!AE3+'April 26'!AE3+'May 26'!AE3+'June 26'!AE3</f>
        <v>0</v>
      </c>
      <c r="AH3" s="7">
        <f>'July 25'!AF3 + 'August 25'!AF3 +'Sept 25'!AF3 + 'Oct 25'!AF3 + 'Nov 25'!AF3+ 'Dec 25'!AF3 +'Jan 26'!AF3+'Feb 26'!AF3+'March 26'!AF3+'April 26'!AF3+'May 26'!AF3+'June 26'!AF3</f>
        <v>0</v>
      </c>
      <c r="AI3" s="7">
        <f>'July 25'!AG3 + 'August 25'!AG3 +'Sept 25'!AG3 + 'Oct 25'!AG3 + 'Nov 25'!AG3+ 'Dec 25'!AG3 +'Jan 26'!AG3+'Feb 26'!AG3+'March 26'!AG3+'April 26'!AG3+'May 26'!AG3+'June 26'!AG3</f>
        <v>0</v>
      </c>
      <c r="AJ3" s="7">
        <f>'July 25'!AH3 + 'August 25'!AH3 +'Sept 25'!AH3 + 'Oct 25'!AH3 + 'Nov 25'!AH3+ 'Dec 25'!AH3 +'Jan 26'!AH3+'Feb 26'!AH3+'March 26'!AH3+'April 26'!AH3+'May 26'!AH3+'June 26'!AH3</f>
        <v>0</v>
      </c>
      <c r="AK3" s="7">
        <f>'July 25'!AI3 + 'August 25'!AI3 +'Sept 25'!AI3 + 'Oct 25'!AI3 + 'Nov 25'!AI3+ 'Dec 25'!AI3 +'Jan 26'!AI3+'Feb 26'!AI3+'March 26'!AI3+'April 26'!AI3+'May 26'!AI3+'June 26'!AI3</f>
        <v>0</v>
      </c>
      <c r="AL3" s="7">
        <f>'July 25'!AJ3 + 'August 25'!AJ3 +'Sept 25'!AJ3 + 'Oct 25'!AJ3 + 'Nov 25'!AJ3+ 'Dec 25'!AJ3 +'Jan 26'!AJ3+'Feb 26'!AJ3+'March 26'!AJ3+'April 26'!AJ3+'May 26'!AJ3+'June 26'!AJ3</f>
        <v>0</v>
      </c>
      <c r="AM3" s="7">
        <f>'July 25'!AK3 + 'August 25'!AK3 +'Sept 25'!AK3 + 'Oct 25'!AK3 + 'Nov 25'!AK3+ 'Dec 25'!AK3 +'Jan 26'!AK3+'Feb 26'!AK3+'March 26'!AK3+'April 26'!AK3+'May 26'!AK3+'June 26'!AK3</f>
        <v>0</v>
      </c>
      <c r="AN3" s="7">
        <f>'July 25'!AL3 + 'August 25'!AL3 +'Sept 25'!AL3 + 'Oct 25'!AL3 + 'Nov 25'!AL3+ 'Dec 25'!AL3 +'Jan 26'!AL3+'Feb 26'!AL3+'March 26'!AL3+'April 26'!AL3+'May 26'!AL3+'June 26'!AL3</f>
        <v>0</v>
      </c>
      <c r="AO3" s="7">
        <f>'July 25'!AM3 + 'August 25'!AM3 +'Sept 25'!AM3 + 'Oct 25'!AM3 + 'Nov 25'!AM3+ 'Dec 25'!AM3 +'Jan 26'!AM3+'Feb 26'!AM3+'March 26'!AM3+'April 26'!AM3+'May 26'!AM3+'June 26'!AM3</f>
        <v>0</v>
      </c>
      <c r="AP3" s="7">
        <f>'July 25'!AN3 + 'August 25'!AN3 +'Sept 25'!AN3 + 'Oct 25'!AN3 + 'Nov 25'!AN3+ 'Dec 25'!AN3 +'Jan 26'!AN3+'Feb 26'!AN3+'March 26'!AN3+'April 26'!AN3+'May 26'!AN3+'June 26'!AN3</f>
        <v>0</v>
      </c>
      <c r="AQ3" s="7">
        <f>'July 25'!AO3 + 'August 25'!AO3 +'Sept 25'!AO3 + 'Oct 25'!AO3 + 'Nov 25'!AO3+ 'Dec 25'!AO3 +'Jan 26'!AO3+'Feb 26'!AO3+'March 26'!AO3+'April 26'!AO3+'May 26'!AO3+'June 26'!AO3</f>
        <v>0</v>
      </c>
      <c r="AR3" s="7">
        <f>'July 25'!AP3 + 'August 25'!AP3 +'Sept 25'!AP3 + 'Oct 25'!AP3 + 'Nov 25'!AP3+ 'Dec 25'!AP3 +'Jan 26'!AP3+'Feb 26'!AP3+'March 26'!AP3+'April 26'!AP3+'May 26'!AP3+'June 26'!AP3</f>
        <v>0</v>
      </c>
      <c r="AS3" s="7">
        <f>'July 25'!AQ3 + 'August 25'!AQ3 +'Sept 25'!AQ3 + 'Oct 25'!AQ3 + 'Nov 25'!AQ3+ 'Dec 25'!AQ3 +'Jan 26'!AQ3+'Feb 26'!AQ3+'March 26'!AQ3+'April 26'!AQ3+'May 26'!AQ3+'June 26'!AQ3</f>
        <v>0</v>
      </c>
      <c r="AT3" s="7">
        <f>'July 25'!AR3 + 'August 25'!AR3 +'Sept 25'!AR3 + 'Oct 25'!AR3 + 'Nov 25'!AR3+ 'Dec 25'!AR3 +'Jan 26'!AR3+'Feb 26'!AR3+'March 26'!AR3+'April 26'!AR3+'May 26'!AR3+'June 26'!AR3</f>
        <v>0</v>
      </c>
      <c r="AU3" s="7">
        <f>'July 25'!AS3 + 'August 25'!AS3 +'Sept 25'!AS3 + 'Oct 25'!AS3 + 'Nov 25'!AS3+ 'Dec 25'!AS3 +'Jan 26'!AS3+'Feb 26'!AS3+'March 26'!AS3+'April 26'!AS3+'May 26'!AS3+'June 26'!AS3</f>
        <v>0</v>
      </c>
      <c r="AV3" s="7">
        <f>'July 25'!AT3 + 'August 25'!AT3 +'Sept 25'!AT3 + 'Oct 25'!AT3 + 'Nov 25'!AT3+ 'Dec 25'!AT3 +'Jan 26'!AT3+'Feb 26'!AT3+'March 26'!AT3+'April 26'!AT3+'May 26'!AT3+'June 26'!AT3</f>
        <v>0</v>
      </c>
      <c r="AW3" s="7">
        <f>'July 25'!AU3 + 'August 25'!AU3 +'Sept 25'!AU3 + 'Oct 25'!AU3 + 'Nov 25'!AU3+ 'Dec 25'!AU3 +'Jan 26'!AU3+'Feb 26'!AU3+'March 26'!AU3+'April 26'!AU3+'May 26'!AU3+'June 26'!AU3</f>
        <v>0</v>
      </c>
      <c r="AX3" s="7">
        <f>'July 25'!AV3 + 'August 25'!AV3 +'Sept 25'!AV3 + 'Oct 25'!AV3 + 'Nov 25'!AV3+ 'Dec 25'!AV3 +'Jan 26'!AV3+'Feb 26'!AV3+'March 26'!AV3+'April 26'!AV3+'May 26'!AV3+'June 26'!AV3</f>
        <v>0</v>
      </c>
      <c r="AY3" s="7">
        <f>'July 25'!AW3 + 'August 25'!AW3 +'Sept 25'!AW3 + 'Oct 25'!AW3 + 'Nov 25'!AW3+ 'Dec 25'!AW3 +'Jan 26'!AW3+'Feb 26'!AW3+'March 26'!AW3+'April 26'!AW3+'May 26'!AW3+'June 26'!AW3</f>
        <v>0</v>
      </c>
      <c r="AZ3" s="7">
        <f>'July 25'!AX3 + 'August 25'!AX3 +'Sept 25'!AX3 + 'Oct 25'!AX3 + 'Nov 25'!AX3+ 'Dec 25'!AX3 +'Jan 26'!AX3+'Feb 26'!AX3+'March 26'!AX3+'April 26'!AX3+'May 26'!AX3+'June 26'!AX3</f>
        <v>0</v>
      </c>
      <c r="BA3" s="7">
        <f>'July 25'!AY3 + 'August 25'!AY3 +'Sept 25'!AY3 + 'Oct 25'!AY3 + 'Nov 25'!AY3+ 'Dec 25'!AY3 +'Jan 26'!AY3+'Feb 26'!AY3+'March 26'!AY3+'April 26'!AY3+'May 26'!AY3+'June 26'!AY3</f>
        <v>0</v>
      </c>
      <c r="BB3" s="7">
        <f>'July 25'!AZ3 + 'August 25'!AZ3 +'Sept 25'!AZ3 + 'Oct 25'!AZ3 + 'Nov 25'!AZ3+ 'Dec 25'!AZ3 +'Jan 26'!AZ3+'Feb 26'!AZ3+'March 26'!AZ3+'April 26'!AZ3+'May 26'!AZ3+'June 26'!AZ3</f>
        <v>0</v>
      </c>
      <c r="BC3" s="7">
        <f>'July 25'!BA3 + 'August 25'!BA3 +'Sept 25'!BA3 + 'Oct 25'!BA3 + 'Nov 25'!BA3+ 'Dec 25'!BA3 +'Jan 26'!BA3+'Feb 26'!BA3+'March 26'!BA3+'April 26'!BA3+'May 26'!BA3+'June 26'!BA3</f>
        <v>0</v>
      </c>
      <c r="BD3" s="7">
        <f>'July 25'!BB3 + 'August 25'!BB3 +'Sept 25'!BB3 + 'Oct 25'!BB3 + 'Nov 25'!BB3+ 'Dec 25'!BB3 +'Jan 26'!BB3+'Feb 26'!BB3+'March 26'!BB3+'April 26'!BB3+'May 26'!BB3+'June 26'!BB3</f>
        <v>0</v>
      </c>
      <c r="BE3" s="7">
        <f>'July 25'!BC3 + 'August 25'!BC3 +'Sept 25'!BC3 + 'Oct 25'!BC3 + 'Nov 25'!BC3+ 'Dec 25'!BC3 +'Jan 26'!BC3+'Feb 26'!BC3+'March 26'!BC3+'April 26'!BC3+'May 26'!BC3+'June 26'!BC3</f>
        <v>0</v>
      </c>
      <c r="BF3" s="7">
        <f>'July 25'!BD3 + 'August 25'!BD3 +'Sept 25'!BD3 + 'Oct 25'!BD3 + 'Nov 25'!BD3+ 'Dec 25'!BD3 +'Jan 26'!BD3+'Feb 26'!BD3+'March 26'!BD3+'April 26'!BD3+'May 26'!BD3+'June 26'!BD3</f>
        <v>0</v>
      </c>
      <c r="BG3" s="7">
        <f>'July 25'!BE3 + 'August 25'!BE3 +'Sept 25'!BE3 + 'Oct 25'!BE3 + 'Nov 25'!BE3+ 'Dec 25'!BE3 +'Jan 26'!BE3+'Feb 26'!BE3+'March 26'!BE3+'April 26'!BE3+'May 26'!BE3+'June 26'!BE3</f>
        <v>0</v>
      </c>
      <c r="BH3" s="7">
        <f>'July 25'!BF3 + 'August 25'!BF3 +'Sept 25'!BF3 + 'Oct 25'!BF3 + 'Nov 25'!BF3+ 'Dec 25'!BF3 +'Jan 26'!BF3+'Feb 26'!BF3+'March 26'!BF3+'April 26'!BF3+'May 26'!BF3+'June 26'!BF3</f>
        <v>0</v>
      </c>
      <c r="BI3" s="7">
        <f>'July 25'!BG3 + 'August 25'!BG3 +'Sept 25'!BG3 + 'Oct 25'!BG3 + 'Nov 25'!BG3+ 'Dec 25'!BG3 +'Jan 26'!BG3+'Feb 26'!BG3+'March 26'!BG3+'April 26'!BG3+'May 26'!BG3+'June 26'!BG3</f>
        <v>0</v>
      </c>
      <c r="BJ3" s="7">
        <f>'July 25'!BH3 + 'August 25'!BH3 +'Sept 25'!BH3 + 'Oct 25'!BH3 + 'Nov 25'!BH3+ 'Dec 25'!BH3 +'Jan 26'!BH3+'Feb 26'!BH3+'March 26'!BH3+'April 26'!BH3+'May 26'!BH3+'June 26'!BH3</f>
        <v>0</v>
      </c>
      <c r="BK3" s="7">
        <f>'July 25'!BI3 + 'August 25'!BI3 +'Sept 25'!BI3 + 'Oct 25'!BI3 + 'Nov 25'!BI3+ 'Dec 25'!BI3 +'Jan 26'!BI3+'Feb 26'!BI3+'March 26'!BI3+'April 26'!BI3+'May 26'!BI3+'June 26'!BI3</f>
        <v>0</v>
      </c>
      <c r="BL3" s="7">
        <f>'July 25'!BJ3 + 'August 25'!BJ3 +'Sept 25'!BJ3 + 'Oct 25'!BJ3 + 'Nov 25'!BJ3+ 'Dec 25'!BJ3 +'Jan 26'!BJ3+'Feb 26'!BJ3+'March 26'!BJ3+'April 26'!BJ3+'May 26'!BJ3+'June 26'!BJ3</f>
        <v>0</v>
      </c>
      <c r="BM3" s="7">
        <f>'July 25'!BK3 + 'August 25'!BK3 +'Sept 25'!BK3 + 'Oct 25'!BK3 + 'Nov 25'!BK3+ 'Dec 25'!BK3 +'Jan 26'!BK3+'Feb 26'!BK3+'March 26'!BK3+'April 26'!BK3+'May 26'!BK3+'June 26'!BK3</f>
        <v>0</v>
      </c>
      <c r="BN3" s="7">
        <f>'July 25'!BL3 + 'August 25'!BL3 +'Sept 25'!BL3 + 'Oct 25'!BL3 + 'Nov 25'!BL3+ 'Dec 25'!BL3 +'Jan 26'!BL3+'Feb 26'!BL3+'March 26'!BL3+'April 26'!BL3+'May 26'!BL3+'June 26'!BL3</f>
        <v>0</v>
      </c>
      <c r="BO3" s="7">
        <f>'July 25'!BM3 + 'August 25'!BM3 +'Sept 25'!BM3 + 'Oct 25'!BM3 + 'Nov 25'!BM3+ 'Dec 25'!BM3 +'Jan 26'!BM3+'Feb 26'!BM3+'March 26'!BM3+'April 26'!BM3+'May 26'!BM3+'June 26'!BM3</f>
        <v>0</v>
      </c>
      <c r="BP3" s="7">
        <f>'July 25'!BN3 + 'August 25'!BN3 +'Sept 25'!BN3 + 'Oct 25'!BN3 + 'Nov 25'!BN3+ 'Dec 25'!BN3 +'Jan 26'!BN3+'Feb 26'!BN3+'March 26'!BN3+'April 26'!BN3+'May 26'!BN3+'June 26'!BN3</f>
        <v>0</v>
      </c>
      <c r="BQ3" s="7">
        <f>'July 25'!BO3 + 'August 25'!BO3 +'Sept 25'!BO3 + 'Oct 25'!BO3 + 'Nov 25'!BO3+ 'Dec 25'!BO3 +'Jan 26'!BO3+'Feb 26'!BO3+'March 26'!BO3+'April 26'!BO3+'May 26'!BO3+'June 26'!BO3</f>
        <v>0</v>
      </c>
      <c r="BR3" s="7">
        <f>'July 25'!BP3 + 'August 25'!BP3 +'Sept 25'!BP3 + 'Oct 25'!BP3 + 'Nov 25'!BP3+ 'Dec 25'!BP3 +'Jan 26'!BP3+'Feb 26'!BP3+'March 26'!BP3+'April 26'!BP3+'May 26'!BP3+'June 26'!BP3</f>
        <v>0</v>
      </c>
      <c r="BS3" s="7">
        <f>'July 25'!BQ3 + 'August 25'!BQ3 +'Sept 25'!BQ3 + 'Oct 25'!BQ3 + 'Nov 25'!BQ3+ 'Dec 25'!BQ3 +'Jan 26'!BQ3+'Feb 26'!BQ3+'March 26'!BQ3+'April 26'!BQ3+'May 26'!BQ3+'June 26'!BQ3</f>
        <v>0</v>
      </c>
      <c r="BT3" s="7">
        <f>'July 25'!BR3 + 'August 25'!BR3 +'Sept 25'!BR3 + 'Oct 25'!BR3 + 'Nov 25'!BR3+ 'Dec 25'!BR3 +'Jan 26'!BR3+'Feb 26'!BR3+'March 26'!BR3+'April 26'!BR3+'May 26'!BR3+'June 26'!BR3</f>
        <v>0</v>
      </c>
      <c r="BU3" s="7">
        <f>'July 25'!BS3 + 'August 25'!BS3 +'Sept 25'!BS3 + 'Oct 25'!BS3 + 'Nov 25'!BS3+ 'Dec 25'!BS3 +'Jan 26'!BS3+'Feb 26'!BS3+'March 26'!BS3+'April 26'!BS3+'May 26'!BS3+'June 26'!BS3</f>
        <v>0</v>
      </c>
      <c r="BV3" s="7">
        <f>'July 25'!BT3 + 'August 25'!BT3 +'Sept 25'!BT3 + 'Oct 25'!BT3 + 'Nov 25'!BT3+ 'Dec 25'!BT3 +'Jan 26'!BT3+'Feb 26'!BT3+'March 26'!BT3+'April 26'!BT3+'May 26'!BT3+'June 26'!BT3</f>
        <v>0</v>
      </c>
      <c r="BW3" s="7">
        <f>'July 25'!BU3 + 'August 25'!BU3 +'Sept 25'!BU3 + 'Oct 25'!BU3 + 'Nov 25'!BU3+ 'Dec 25'!BU3 +'Jan 26'!BU3+'Feb 26'!BU3+'March 26'!BU3+'April 26'!BU3+'May 26'!BU3+'June 26'!BU3</f>
        <v>0</v>
      </c>
      <c r="BX3" s="7">
        <f>'July 25'!BV3 + 'August 25'!BV3 +'Sept 25'!BV3 + 'Oct 25'!BV3 + 'Nov 25'!BV3+ 'Dec 25'!BV3 +'Jan 26'!BV3+'Feb 26'!BV3+'March 26'!BV3+'April 26'!BV3+'May 26'!BV3+'June 26'!BV3</f>
        <v>0</v>
      </c>
      <c r="BY3" s="7">
        <f>'July 25'!BW3 + 'August 25'!BW3 +'Sept 25'!BW3 + 'Oct 25'!BW3 + 'Nov 25'!BW3+ 'Dec 25'!BW3 +'Jan 26'!BW3+'Feb 26'!BW3+'March 26'!BW3+'April 26'!BW3+'May 26'!BW3+'June 26'!BW3</f>
        <v>0</v>
      </c>
      <c r="BZ3" s="7">
        <f>'July 25'!BX3 + 'August 25'!BX3 +'Sept 25'!BX3 + 'Oct 25'!BX3 + 'Nov 25'!BX3+ 'Dec 25'!BX3 +'Jan 26'!BX3+'Feb 26'!BX3+'March 26'!BX3+'April 26'!BX3+'May 26'!BX3+'June 26'!BX3</f>
        <v>0</v>
      </c>
      <c r="CA3" s="7">
        <f>'July 25'!BY3 + 'August 25'!BY3 +'Sept 25'!BY3 + 'Oct 25'!BY3 + 'Nov 25'!BY3+ 'Dec 25'!BY3 +'Jan 26'!BY3+'Feb 26'!BY3+'March 26'!BY3+'April 26'!BY3+'May 26'!BY3+'June 26'!BY3</f>
        <v>0</v>
      </c>
      <c r="CB3" s="7">
        <f>'July 25'!BZ3 + 'August 25'!BZ3 +'Sept 25'!BZ3 + 'Oct 25'!BZ3 + 'Nov 25'!BZ3+ 'Dec 25'!BZ3 +'Jan 26'!BZ3+'Feb 26'!BZ3+'March 26'!BZ3+'April 26'!BZ3+'May 26'!BZ3+'June 26'!BZ3</f>
        <v>0</v>
      </c>
      <c r="CC3" s="7">
        <f>'July 25'!CA3 + 'August 25'!CA3 +'Sept 25'!CA3 + 'Oct 25'!CA3 + 'Nov 25'!CA3+ 'Dec 25'!CA3 +'Jan 26'!CA3+'Feb 26'!CA3+'March 26'!CA3+'April 26'!CA3+'May 26'!CA3+'June 26'!CA3</f>
        <v>0</v>
      </c>
      <c r="CD3" s="7">
        <f>'July 25'!CB3 + 'August 25'!CB3 +'Sept 25'!CB3 + 'Oct 25'!CB3 + 'Nov 25'!CB3+ 'Dec 25'!CB3 +'Jan 26'!CB3+'Feb 26'!CB3+'March 26'!CB3+'April 26'!CB3+'May 26'!CB3+'June 26'!CB3</f>
        <v>0</v>
      </c>
      <c r="CE3" s="7">
        <f>'July 25'!CC3 + 'August 25'!CC3 +'Sept 25'!CC3 + 'Oct 25'!CC3 + 'Nov 25'!CC3+ 'Dec 25'!CC3 +'Jan 26'!CC3+'Feb 26'!CC3+'March 26'!CC3+'April 26'!CC3+'May 26'!CC3+'June 26'!CC3</f>
        <v>0</v>
      </c>
      <c r="CF3" s="8" cm="1">
        <f t="array" ref="CF3">SUMPRODUCT(--(UPPER($F$2:$CE$2)="NET NEW"),$F3:$CE3)</f>
        <v>1440</v>
      </c>
      <c r="CG3" s="3">
        <f>SUMIF($F$2:$CE$2,"Enhance Existing",$F3:$CE3)</f>
        <v>0</v>
      </c>
      <c r="CH3" s="3">
        <f>SUMIF($F$2:$CE$2,"Maintenance",$F3:$CE3)</f>
        <v>0</v>
      </c>
    </row>
    <row r="4" spans="1:86" ht="15.95">
      <c r="A4" s="7" t="s">
        <v>41</v>
      </c>
      <c r="B4" s="7" t="s">
        <v>39</v>
      </c>
      <c r="C4" s="7" t="s">
        <v>42</v>
      </c>
      <c r="D4" s="12">
        <v>98.75</v>
      </c>
      <c r="E4" s="7"/>
      <c r="F4" s="7">
        <f>'July 25'!D4 + 'August 25'!D4 +'Sept 25'!D4 + 'Oct 25'!D4 + 'Nov 25'!D4+ 'Dec 25'!D4 +'Jan 26'!D4+'Feb 26'!D4+'March 26'!D4+'April 26'!D4+'May 26'!D4+'June 26'!D4</f>
        <v>0</v>
      </c>
      <c r="G4" s="7">
        <f>'July 25'!E4 + 'August 25'!E4 +'Sept 25'!E4 + 'Oct 25'!E4 + 'Nov 25'!E4+ 'Dec 25'!E4 +'Jan 26'!E4+'Feb 26'!E4+'March 26'!E4+'April 26'!E4+'May 26'!E4+'June 26'!E4</f>
        <v>0</v>
      </c>
      <c r="H4" s="7">
        <f>'July 25'!F4 + 'August 25'!F4 +'Sept 25'!F4 + 'Oct 25'!F4 + 'Nov 25'!F4+ 'Dec 25'!F4 +'Jan 26'!F4+'Feb 26'!F4+'March 26'!F4+'April 26'!F4+'May 26'!F4+'June 26'!F4</f>
        <v>0</v>
      </c>
      <c r="I4" s="7">
        <f>'July 25'!G4 + 'August 25'!G4 +'Sept 25'!G4 + 'Oct 25'!G4 + 'Nov 25'!G4+ 'Dec 25'!G4 +'Jan 26'!G4+'Feb 26'!G4+'March 26'!G4+'April 26'!G4+'May 26'!G4+'June 26'!G4</f>
        <v>0</v>
      </c>
      <c r="J4" s="7">
        <f>'July 25'!H4 + 'August 25'!H4 +'Sept 25'!H4 + 'Oct 25'!H4 + 'Nov 25'!H4+ 'Dec 25'!H4 +'Jan 26'!H4+'Feb 26'!H4+'March 26'!H4+'April 26'!H4+'May 26'!H4+'June 26'!H4</f>
        <v>0</v>
      </c>
      <c r="K4" s="7">
        <f>'July 25'!I4 + 'August 25'!I4 +'Sept 25'!I4 + 'Oct 25'!I4 + 'Nov 25'!I4+ 'Dec 25'!I4 +'Jan 26'!I4+'Feb 26'!I4+'March 26'!I4+'April 26'!I4+'May 26'!I4+'June 26'!I4</f>
        <v>0</v>
      </c>
      <c r="L4" s="7">
        <f>'July 25'!J4 + 'August 25'!J4 +'Sept 25'!J4 + 'Oct 25'!J4 + 'Nov 25'!J4+ 'Dec 25'!J4 +'Jan 26'!J4+'Feb 26'!J4+'March 26'!J4+'April 26'!J4+'May 26'!J4+'June 26'!J4</f>
        <v>0</v>
      </c>
      <c r="M4" s="7">
        <f>'July 25'!K4 + 'August 25'!K4 +'Sept 25'!K4 + 'Oct 25'!K4 + 'Nov 25'!K4+ 'Dec 25'!K4 +'Jan 26'!K4+'Feb 26'!K4+'March 26'!K4+'April 26'!K4+'May 26'!K4+'June 26'!K4</f>
        <v>0</v>
      </c>
      <c r="N4" s="7">
        <f>'July 25'!L4 + 'August 25'!L4 +'Sept 25'!L4 + 'Oct 25'!L4 + 'Nov 25'!L4+ 'Dec 25'!L4 +'Jan 26'!L4+'Feb 26'!L4+'March 26'!L4+'April 26'!L4+'May 26'!L4+'June 26'!L4</f>
        <v>0</v>
      </c>
      <c r="O4" s="7">
        <f>'July 25'!M4 + 'August 25'!M4 +'Sept 25'!M4 + 'Oct 25'!M4 + 'Nov 25'!M4+ 'Dec 25'!M4 +'Jan 26'!M4+'Feb 26'!M4+'March 26'!M4+'April 26'!M4+'May 26'!M4+'June 26'!M4</f>
        <v>0</v>
      </c>
      <c r="P4" s="7">
        <f>'July 25'!N4 + 'August 25'!N4 +'Sept 25'!N4 + 'Oct 25'!N4 + 'Nov 25'!N4+ 'Dec 25'!N4 +'Jan 26'!N4+'Feb 26'!N4+'March 26'!N4+'April 26'!N4+'May 26'!N4+'June 26'!N4</f>
        <v>0</v>
      </c>
      <c r="Q4" s="7">
        <f>'July 25'!O4 + 'August 25'!O4 +'Sept 25'!O4 + 'Oct 25'!O4 + 'Nov 25'!O4+ 'Dec 25'!O4 +'Jan 26'!O4+'Feb 26'!O4+'March 26'!O4+'April 26'!O4+'May 26'!O4+'June 26'!O4</f>
        <v>0</v>
      </c>
      <c r="R4" s="7">
        <f>'July 25'!P4 + 'August 25'!P4 +'Sept 25'!P4 + 'Oct 25'!P4 + 'Nov 25'!P4+ 'Dec 25'!P4 +'Jan 26'!P4+'Feb 26'!P4+'March 26'!P4+'April 26'!P4+'May 26'!P4+'June 26'!P4</f>
        <v>0</v>
      </c>
      <c r="S4" s="7">
        <f>'July 25'!Q4 + 'August 25'!Q4 +'Sept 25'!Q4 + 'Oct 25'!Q4 + 'Nov 25'!Q4+ 'Dec 25'!Q4 +'Jan 26'!Q4+'Feb 26'!Q4+'March 26'!Q4+'April 26'!Q4+'May 26'!Q4+'June 26'!Q4</f>
        <v>0</v>
      </c>
      <c r="T4" s="7">
        <f>'July 25'!R4 + 'August 25'!R4 +'Sept 25'!R4 + 'Oct 25'!R4 + 'Nov 25'!R4+ 'Dec 25'!R4 +'Jan 26'!R4+'Feb 26'!R4+'March 26'!R4+'April 26'!R4+'May 26'!R4+'June 26'!R4</f>
        <v>0</v>
      </c>
      <c r="U4" s="7">
        <f>'July 25'!S4 + 'August 25'!S4 +'Sept 25'!S4 + 'Oct 25'!S4 + 'Nov 25'!S4+ 'Dec 25'!S4 +'Jan 26'!S4+'Feb 26'!S4+'March 26'!S4+'April 26'!S4+'May 26'!S4+'June 26'!S4</f>
        <v>0</v>
      </c>
      <c r="V4" s="7">
        <f>'July 25'!T4 + 'August 25'!T4 +'Sept 25'!T4 + 'Oct 25'!T4 + 'Nov 25'!T4+ 'Dec 25'!T4 +'Jan 26'!T4+'Feb 26'!T4+'March 26'!T4+'April 26'!T4+'May 26'!T4+'June 26'!T4</f>
        <v>0</v>
      </c>
      <c r="W4" s="7">
        <f>'July 25'!U4 + 'August 25'!U4 +'Sept 25'!U4 + 'Oct 25'!U4 + 'Nov 25'!U4+ 'Dec 25'!U4 +'Jan 26'!U4+'Feb 26'!U4+'March 26'!U4+'April 26'!U4+'May 26'!U4+'June 26'!U4</f>
        <v>0</v>
      </c>
      <c r="X4" s="7">
        <f>'July 25'!V4 + 'August 25'!V4 +'Sept 25'!V4 + 'Oct 25'!V4 + 'Nov 25'!V4+ 'Dec 25'!V4 +'Jan 26'!V4+'Feb 26'!V4+'March 26'!V4+'April 26'!V4+'May 26'!V4+'June 26'!V4</f>
        <v>0</v>
      </c>
      <c r="Y4" s="7">
        <f>'July 25'!W4 + 'August 25'!W4 +'Sept 25'!W4 + 'Oct 25'!W4 + 'Nov 25'!W4+ 'Dec 25'!W4 +'Jan 26'!W4+'Feb 26'!W4+'March 26'!W4+'April 26'!W4+'May 26'!W4+'June 26'!W4</f>
        <v>0</v>
      </c>
      <c r="Z4" s="7">
        <f>'July 25'!X4 + 'August 25'!X4 +'Sept 25'!X4 + 'Oct 25'!X4 + 'Nov 25'!X4+ 'Dec 25'!X4 +'Jan 26'!X4+'Feb 26'!X4+'March 26'!X4+'April 26'!X4+'May 26'!X4+'June 26'!X4</f>
        <v>0</v>
      </c>
      <c r="AA4" s="7">
        <f>'July 25'!Y4 + 'August 25'!Y4 +'Sept 25'!Y4 + 'Oct 25'!Y4 + 'Nov 25'!Y4+ 'Dec 25'!Y4 +'Jan 26'!Y4+'Feb 26'!Y4+'March 26'!Y4+'April 26'!Y4+'May 26'!Y4+'June 26'!Y4</f>
        <v>0</v>
      </c>
      <c r="AB4" s="7">
        <f>'July 25'!Z4 + 'August 25'!Z4 +'Sept 25'!Z4 + 'Oct 25'!Z4 + 'Nov 25'!Z4+ 'Dec 25'!Z4 +'Jan 26'!Z4+'Feb 26'!Z4+'March 26'!Z4+'April 26'!Z4+'May 26'!Z4+'June 26'!Z4</f>
        <v>448</v>
      </c>
      <c r="AC4" s="7">
        <f>'July 25'!AA4 + 'August 25'!AA4 +'Sept 25'!AA4 + 'Oct 25'!AA4 + 'Nov 25'!AA4+ 'Dec 25'!AA4 +'Jan 26'!AA4+'Feb 26'!AA4+'March 26'!AA4+'April 26'!AA4+'May 26'!AA4+'June 26'!AA4</f>
        <v>448</v>
      </c>
      <c r="AD4" s="7">
        <f>'July 25'!AB4 + 'August 25'!AB4 +'Sept 25'!AB4 + 'Oct 25'!AB4 + 'Nov 25'!AB4+ 'Dec 25'!AB4 +'Jan 26'!AB4+'Feb 26'!AB4+'March 26'!AB4+'April 26'!AB4+'May 26'!AB4+'June 26'!AB4</f>
        <v>0</v>
      </c>
      <c r="AE4" s="7">
        <f>'July 25'!AC4 + 'August 25'!AC4 +'Sept 25'!AC4 + 'Oct 25'!AC4 + 'Nov 25'!AC4+ 'Dec 25'!AC4 +'Jan 26'!AC4+'Feb 26'!AC4+'March 26'!AC4+'April 26'!AC4+'May 26'!AC4+'June 26'!AC4</f>
        <v>0</v>
      </c>
      <c r="AF4" s="7">
        <f>'July 25'!AD4 + 'August 25'!AD4 +'Sept 25'!AD4 + 'Oct 25'!AD4 + 'Nov 25'!AD4+ 'Dec 25'!AD4 +'Jan 26'!AD4+'Feb 26'!AD4+'March 26'!AD4+'April 26'!AD4+'May 26'!AD4+'June 26'!AD4</f>
        <v>0</v>
      </c>
      <c r="AG4" s="7">
        <f>'July 25'!AE4 + 'August 25'!AE4 +'Sept 25'!AE4 + 'Oct 25'!AE4 + 'Nov 25'!AE4+ 'Dec 25'!AE4 +'Jan 26'!AE4+'Feb 26'!AE4+'March 26'!AE4+'April 26'!AE4+'May 26'!AE4+'June 26'!AE4</f>
        <v>0</v>
      </c>
      <c r="AH4" s="7">
        <f>'July 25'!AF4 + 'August 25'!AF4 +'Sept 25'!AF4 + 'Oct 25'!AF4 + 'Nov 25'!AF4+ 'Dec 25'!AF4 +'Jan 26'!AF4+'Feb 26'!AF4+'March 26'!AF4+'April 26'!AF4+'May 26'!AF4+'June 26'!AF4</f>
        <v>0</v>
      </c>
      <c r="AI4" s="7">
        <f>'July 25'!AG4 + 'August 25'!AG4 +'Sept 25'!AG4 + 'Oct 25'!AG4 + 'Nov 25'!AG4+ 'Dec 25'!AG4 +'Jan 26'!AG4+'Feb 26'!AG4+'March 26'!AG4+'April 26'!AG4+'May 26'!AG4+'June 26'!AG4</f>
        <v>0</v>
      </c>
      <c r="AJ4" s="7">
        <f>'July 25'!AH4 + 'August 25'!AH4 +'Sept 25'!AH4 + 'Oct 25'!AH4 + 'Nov 25'!AH4+ 'Dec 25'!AH4 +'Jan 26'!AH4+'Feb 26'!AH4+'March 26'!AH4+'April 26'!AH4+'May 26'!AH4+'June 26'!AH4</f>
        <v>0</v>
      </c>
      <c r="AK4" s="7">
        <f>'July 25'!AI4 + 'August 25'!AI4 +'Sept 25'!AI4 + 'Oct 25'!AI4 + 'Nov 25'!AI4+ 'Dec 25'!AI4 +'Jan 26'!AI4+'Feb 26'!AI4+'March 26'!AI4+'April 26'!AI4+'May 26'!AI4+'June 26'!AI4</f>
        <v>0</v>
      </c>
      <c r="AL4" s="7">
        <f>'July 25'!AJ4 + 'August 25'!AJ4 +'Sept 25'!AJ4 + 'Oct 25'!AJ4 + 'Nov 25'!AJ4+ 'Dec 25'!AJ4 +'Jan 26'!AJ4+'Feb 26'!AJ4+'March 26'!AJ4+'April 26'!AJ4+'May 26'!AJ4+'June 26'!AJ4</f>
        <v>0</v>
      </c>
      <c r="AM4" s="7">
        <f>'July 25'!AK4 + 'August 25'!AK4 +'Sept 25'!AK4 + 'Oct 25'!AK4 + 'Nov 25'!AK4+ 'Dec 25'!AK4 +'Jan 26'!AK4+'Feb 26'!AK4+'March 26'!AK4+'April 26'!AK4+'May 26'!AK4+'June 26'!AK4</f>
        <v>0</v>
      </c>
      <c r="AN4" s="7">
        <f>'July 25'!AL4 + 'August 25'!AL4 +'Sept 25'!AL4 + 'Oct 25'!AL4 + 'Nov 25'!AL4+ 'Dec 25'!AL4 +'Jan 26'!AL4+'Feb 26'!AL4+'March 26'!AL4+'April 26'!AL4+'May 26'!AL4+'June 26'!AL4</f>
        <v>0</v>
      </c>
      <c r="AO4" s="7">
        <f>'July 25'!AM4 + 'August 25'!AM4 +'Sept 25'!AM4 + 'Oct 25'!AM4 + 'Nov 25'!AM4+ 'Dec 25'!AM4 +'Jan 26'!AM4+'Feb 26'!AM4+'March 26'!AM4+'April 26'!AM4+'May 26'!AM4+'June 26'!AM4</f>
        <v>0</v>
      </c>
      <c r="AP4" s="7">
        <f>'July 25'!AN4 + 'August 25'!AN4 +'Sept 25'!AN4 + 'Oct 25'!AN4 + 'Nov 25'!AN4+ 'Dec 25'!AN4 +'Jan 26'!AN4+'Feb 26'!AN4+'March 26'!AN4+'April 26'!AN4+'May 26'!AN4+'June 26'!AN4</f>
        <v>0</v>
      </c>
      <c r="AQ4" s="7">
        <f>'July 25'!AO4 + 'August 25'!AO4 +'Sept 25'!AO4 + 'Oct 25'!AO4 + 'Nov 25'!AO4+ 'Dec 25'!AO4 +'Jan 26'!AO4+'Feb 26'!AO4+'March 26'!AO4+'April 26'!AO4+'May 26'!AO4+'June 26'!AO4</f>
        <v>0</v>
      </c>
      <c r="AR4" s="7">
        <f>'July 25'!AP4 + 'August 25'!AP4 +'Sept 25'!AP4 + 'Oct 25'!AP4 + 'Nov 25'!AP4+ 'Dec 25'!AP4 +'Jan 26'!AP4+'Feb 26'!AP4+'March 26'!AP4+'April 26'!AP4+'May 26'!AP4+'June 26'!AP4</f>
        <v>0</v>
      </c>
      <c r="AS4" s="7">
        <f>'July 25'!AQ4 + 'August 25'!AQ4 +'Sept 25'!AQ4 + 'Oct 25'!AQ4 + 'Nov 25'!AQ4+ 'Dec 25'!AQ4 +'Jan 26'!AQ4+'Feb 26'!AQ4+'March 26'!AQ4+'April 26'!AQ4+'May 26'!AQ4+'June 26'!AQ4</f>
        <v>0</v>
      </c>
      <c r="AT4" s="7">
        <f>'July 25'!AR4 + 'August 25'!AR4 +'Sept 25'!AR4 + 'Oct 25'!AR4 + 'Nov 25'!AR4+ 'Dec 25'!AR4 +'Jan 26'!AR4+'Feb 26'!AR4+'March 26'!AR4+'April 26'!AR4+'May 26'!AR4+'June 26'!AR4</f>
        <v>0</v>
      </c>
      <c r="AU4" s="7">
        <f>'July 25'!AS4 + 'August 25'!AS4 +'Sept 25'!AS4 + 'Oct 25'!AS4 + 'Nov 25'!AS4+ 'Dec 25'!AS4 +'Jan 26'!AS4+'Feb 26'!AS4+'March 26'!AS4+'April 26'!AS4+'May 26'!AS4+'June 26'!AS4</f>
        <v>0</v>
      </c>
      <c r="AV4" s="7">
        <f>'July 25'!AT4 + 'August 25'!AT4 +'Sept 25'!AT4 + 'Oct 25'!AT4 + 'Nov 25'!AT4+ 'Dec 25'!AT4 +'Jan 26'!AT4+'Feb 26'!AT4+'March 26'!AT4+'April 26'!AT4+'May 26'!AT4+'June 26'!AT4</f>
        <v>0</v>
      </c>
      <c r="AW4" s="7">
        <f>'July 25'!AU4 + 'August 25'!AU4 +'Sept 25'!AU4 + 'Oct 25'!AU4 + 'Nov 25'!AU4+ 'Dec 25'!AU4 +'Jan 26'!AU4+'Feb 26'!AU4+'March 26'!AU4+'April 26'!AU4+'May 26'!AU4+'June 26'!AU4</f>
        <v>0</v>
      </c>
      <c r="AX4" s="7">
        <f>'July 25'!AV4 + 'August 25'!AV4 +'Sept 25'!AV4 + 'Oct 25'!AV4 + 'Nov 25'!AV4+ 'Dec 25'!AV4 +'Jan 26'!AV4+'Feb 26'!AV4+'March 26'!AV4+'April 26'!AV4+'May 26'!AV4+'June 26'!AV4</f>
        <v>0</v>
      </c>
      <c r="AY4" s="7">
        <f>'July 25'!AW4 + 'August 25'!AW4 +'Sept 25'!AW4 + 'Oct 25'!AW4 + 'Nov 25'!AW4+ 'Dec 25'!AW4 +'Jan 26'!AW4+'Feb 26'!AW4+'March 26'!AW4+'April 26'!AW4+'May 26'!AW4+'June 26'!AW4</f>
        <v>0</v>
      </c>
      <c r="AZ4" s="7">
        <f>'July 25'!AX4 + 'August 25'!AX4 +'Sept 25'!AX4 + 'Oct 25'!AX4 + 'Nov 25'!AX4+ 'Dec 25'!AX4 +'Jan 26'!AX4+'Feb 26'!AX4+'March 26'!AX4+'April 26'!AX4+'May 26'!AX4+'June 26'!AX4</f>
        <v>0</v>
      </c>
      <c r="BA4" s="7">
        <f>'July 25'!AY4 + 'August 25'!AY4 +'Sept 25'!AY4 + 'Oct 25'!AY4 + 'Nov 25'!AY4+ 'Dec 25'!AY4 +'Jan 26'!AY4+'Feb 26'!AY4+'March 26'!AY4+'April 26'!AY4+'May 26'!AY4+'June 26'!AY4</f>
        <v>0</v>
      </c>
      <c r="BB4" s="7">
        <f>'July 25'!AZ4 + 'August 25'!AZ4 +'Sept 25'!AZ4 + 'Oct 25'!AZ4 + 'Nov 25'!AZ4+ 'Dec 25'!AZ4 +'Jan 26'!AZ4+'Feb 26'!AZ4+'March 26'!AZ4+'April 26'!AZ4+'May 26'!AZ4+'June 26'!AZ4</f>
        <v>0</v>
      </c>
      <c r="BC4" s="7">
        <f>'July 25'!BA4 + 'August 25'!BA4 +'Sept 25'!BA4 + 'Oct 25'!BA4 + 'Nov 25'!BA4+ 'Dec 25'!BA4 +'Jan 26'!BA4+'Feb 26'!BA4+'March 26'!BA4+'April 26'!BA4+'May 26'!BA4+'June 26'!BA4</f>
        <v>0</v>
      </c>
      <c r="BD4" s="7">
        <f>'July 25'!BB4 + 'August 25'!BB4 +'Sept 25'!BB4 + 'Oct 25'!BB4 + 'Nov 25'!BB4+ 'Dec 25'!BB4 +'Jan 26'!BB4+'Feb 26'!BB4+'March 26'!BB4+'April 26'!BB4+'May 26'!BB4+'June 26'!BB4</f>
        <v>0</v>
      </c>
      <c r="BE4" s="7">
        <f>'July 25'!BC4 + 'August 25'!BC4 +'Sept 25'!BC4 + 'Oct 25'!BC4 + 'Nov 25'!BC4+ 'Dec 25'!BC4 +'Jan 26'!BC4+'Feb 26'!BC4+'March 26'!BC4+'April 26'!BC4+'May 26'!BC4+'June 26'!BC4</f>
        <v>0</v>
      </c>
      <c r="BF4" s="7">
        <f>'July 25'!BD4 + 'August 25'!BD4 +'Sept 25'!BD4 + 'Oct 25'!BD4 + 'Nov 25'!BD4+ 'Dec 25'!BD4 +'Jan 26'!BD4+'Feb 26'!BD4+'March 26'!BD4+'April 26'!BD4+'May 26'!BD4+'June 26'!BD4</f>
        <v>0</v>
      </c>
      <c r="BG4" s="7">
        <f>'July 25'!BE4 + 'August 25'!BE4 +'Sept 25'!BE4 + 'Oct 25'!BE4 + 'Nov 25'!BE4+ 'Dec 25'!BE4 +'Jan 26'!BE4+'Feb 26'!BE4+'March 26'!BE4+'April 26'!BE4+'May 26'!BE4+'June 26'!BE4</f>
        <v>0</v>
      </c>
      <c r="BH4" s="7">
        <f>'July 25'!BF4 + 'August 25'!BF4 +'Sept 25'!BF4 + 'Oct 25'!BF4 + 'Nov 25'!BF4+ 'Dec 25'!BF4 +'Jan 26'!BF4+'Feb 26'!BF4+'March 26'!BF4+'April 26'!BF4+'May 26'!BF4+'June 26'!BF4</f>
        <v>0</v>
      </c>
      <c r="BI4" s="7">
        <f>'July 25'!BG4 + 'August 25'!BG4 +'Sept 25'!BG4 + 'Oct 25'!BG4 + 'Nov 25'!BG4+ 'Dec 25'!BG4 +'Jan 26'!BG4+'Feb 26'!BG4+'March 26'!BG4+'April 26'!BG4+'May 26'!BG4+'June 26'!BG4</f>
        <v>0</v>
      </c>
      <c r="BJ4" s="7">
        <f>'July 25'!BH4 + 'August 25'!BH4 +'Sept 25'!BH4 + 'Oct 25'!BH4 + 'Nov 25'!BH4+ 'Dec 25'!BH4 +'Jan 26'!BH4+'Feb 26'!BH4+'March 26'!BH4+'April 26'!BH4+'May 26'!BH4+'June 26'!BH4</f>
        <v>0</v>
      </c>
      <c r="BK4" s="7">
        <f>'July 25'!BI4 + 'August 25'!BI4 +'Sept 25'!BI4 + 'Oct 25'!BI4 + 'Nov 25'!BI4+ 'Dec 25'!BI4 +'Jan 26'!BI4+'Feb 26'!BI4+'March 26'!BI4+'April 26'!BI4+'May 26'!BI4+'June 26'!BI4</f>
        <v>0</v>
      </c>
      <c r="BL4" s="7">
        <f>'July 25'!BJ4 + 'August 25'!BJ4 +'Sept 25'!BJ4 + 'Oct 25'!BJ4 + 'Nov 25'!BJ4+ 'Dec 25'!BJ4 +'Jan 26'!BJ4+'Feb 26'!BJ4+'March 26'!BJ4+'April 26'!BJ4+'May 26'!BJ4+'June 26'!BJ4</f>
        <v>0</v>
      </c>
      <c r="BM4" s="7">
        <f>'July 25'!BK4 + 'August 25'!BK4 +'Sept 25'!BK4 + 'Oct 25'!BK4 + 'Nov 25'!BK4+ 'Dec 25'!BK4 +'Jan 26'!BK4+'Feb 26'!BK4+'March 26'!BK4+'April 26'!BK4+'May 26'!BK4+'June 26'!BK4</f>
        <v>0</v>
      </c>
      <c r="BN4" s="7">
        <f>'July 25'!BL4 + 'August 25'!BL4 +'Sept 25'!BL4 + 'Oct 25'!BL4 + 'Nov 25'!BL4+ 'Dec 25'!BL4 +'Jan 26'!BL4+'Feb 26'!BL4+'March 26'!BL4+'April 26'!BL4+'May 26'!BL4+'June 26'!BL4</f>
        <v>0</v>
      </c>
      <c r="BO4" s="7">
        <f>'July 25'!BM4 + 'August 25'!BM4 +'Sept 25'!BM4 + 'Oct 25'!BM4 + 'Nov 25'!BM4+ 'Dec 25'!BM4 +'Jan 26'!BM4+'Feb 26'!BM4+'March 26'!BM4+'April 26'!BM4+'May 26'!BM4+'June 26'!BM4</f>
        <v>0</v>
      </c>
      <c r="BP4" s="7">
        <f>'July 25'!BN4 + 'August 25'!BN4 +'Sept 25'!BN4 + 'Oct 25'!BN4 + 'Nov 25'!BN4+ 'Dec 25'!BN4 +'Jan 26'!BN4+'Feb 26'!BN4+'March 26'!BN4+'April 26'!BN4+'May 26'!BN4+'June 26'!BN4</f>
        <v>0</v>
      </c>
      <c r="BQ4" s="7">
        <f>'July 25'!BO4 + 'August 25'!BO4 +'Sept 25'!BO4 + 'Oct 25'!BO4 + 'Nov 25'!BO4+ 'Dec 25'!BO4 +'Jan 26'!BO4+'Feb 26'!BO4+'March 26'!BO4+'April 26'!BO4+'May 26'!BO4+'June 26'!BO4</f>
        <v>0</v>
      </c>
      <c r="BR4" s="7">
        <f>'July 25'!BP4 + 'August 25'!BP4 +'Sept 25'!BP4 + 'Oct 25'!BP4 + 'Nov 25'!BP4+ 'Dec 25'!BP4 +'Jan 26'!BP4+'Feb 26'!BP4+'March 26'!BP4+'April 26'!BP4+'May 26'!BP4+'June 26'!BP4</f>
        <v>0</v>
      </c>
      <c r="BS4" s="7">
        <f>'July 25'!BQ4 + 'August 25'!BQ4 +'Sept 25'!BQ4 + 'Oct 25'!BQ4 + 'Nov 25'!BQ4+ 'Dec 25'!BQ4 +'Jan 26'!BQ4+'Feb 26'!BQ4+'March 26'!BQ4+'April 26'!BQ4+'May 26'!BQ4+'June 26'!BQ4</f>
        <v>0</v>
      </c>
      <c r="BT4" s="7">
        <f>'July 25'!BR4 + 'August 25'!BR4 +'Sept 25'!BR4 + 'Oct 25'!BR4 + 'Nov 25'!BR4+ 'Dec 25'!BR4 +'Jan 26'!BR4+'Feb 26'!BR4+'March 26'!BR4+'April 26'!BR4+'May 26'!BR4+'June 26'!BR4</f>
        <v>0</v>
      </c>
      <c r="BU4" s="7">
        <f>'July 25'!BS4 + 'August 25'!BS4 +'Sept 25'!BS4 + 'Oct 25'!BS4 + 'Nov 25'!BS4+ 'Dec 25'!BS4 +'Jan 26'!BS4+'Feb 26'!BS4+'March 26'!BS4+'April 26'!BS4+'May 26'!BS4+'June 26'!BS4</f>
        <v>0</v>
      </c>
      <c r="BV4" s="7">
        <f>'July 25'!BT4 + 'August 25'!BT4 +'Sept 25'!BT4 + 'Oct 25'!BT4 + 'Nov 25'!BT4+ 'Dec 25'!BT4 +'Jan 26'!BT4+'Feb 26'!BT4+'March 26'!BT4+'April 26'!BT4+'May 26'!BT4+'June 26'!BT4</f>
        <v>0</v>
      </c>
      <c r="BW4" s="7">
        <f>'July 25'!BU4 + 'August 25'!BU4 +'Sept 25'!BU4 + 'Oct 25'!BU4 + 'Nov 25'!BU4+ 'Dec 25'!BU4 +'Jan 26'!BU4+'Feb 26'!BU4+'March 26'!BU4+'April 26'!BU4+'May 26'!BU4+'June 26'!BU4</f>
        <v>0</v>
      </c>
      <c r="BX4" s="7">
        <f>'July 25'!BV4 + 'August 25'!BV4 +'Sept 25'!BV4 + 'Oct 25'!BV4 + 'Nov 25'!BV4+ 'Dec 25'!BV4 +'Jan 26'!BV4+'Feb 26'!BV4+'March 26'!BV4+'April 26'!BV4+'May 26'!BV4+'June 26'!BV4</f>
        <v>208</v>
      </c>
      <c r="BY4" s="7">
        <f>'July 25'!BW4 + 'August 25'!BW4 +'Sept 25'!BW4 + 'Oct 25'!BW4 + 'Nov 25'!BW4+ 'Dec 25'!BW4 +'Jan 26'!BW4+'Feb 26'!BW4+'March 26'!BW4+'April 26'!BW4+'May 26'!BW4+'June 26'!BW4</f>
        <v>216</v>
      </c>
      <c r="BZ4" s="7">
        <f>'July 25'!BX4 + 'August 25'!BX4 +'Sept 25'!BX4 + 'Oct 25'!BX4 + 'Nov 25'!BX4+ 'Dec 25'!BX4 +'Jan 26'!BX4+'Feb 26'!BX4+'March 26'!BX4+'April 26'!BX4+'May 26'!BX4+'June 26'!BX4</f>
        <v>0</v>
      </c>
      <c r="CA4" s="7">
        <f>'July 25'!BY4 + 'August 25'!BY4 +'Sept 25'!BY4 + 'Oct 25'!BY4 + 'Nov 25'!BY4+ 'Dec 25'!BY4 +'Jan 26'!BY4+'Feb 26'!BY4+'March 26'!BY4+'April 26'!BY4+'May 26'!BY4+'June 26'!BY4</f>
        <v>0</v>
      </c>
      <c r="CB4" s="7">
        <f>'July 25'!BZ4 + 'August 25'!BZ4 +'Sept 25'!BZ4 + 'Oct 25'!BZ4 + 'Nov 25'!BZ4+ 'Dec 25'!BZ4 +'Jan 26'!BZ4+'Feb 26'!BZ4+'March 26'!BZ4+'April 26'!BZ4+'May 26'!BZ4+'June 26'!BZ4</f>
        <v>0</v>
      </c>
      <c r="CC4" s="7">
        <f>'July 25'!CA4 + 'August 25'!CA4 +'Sept 25'!CA4 + 'Oct 25'!CA4 + 'Nov 25'!CA4+ 'Dec 25'!CA4 +'Jan 26'!CA4+'Feb 26'!CA4+'March 26'!CA4+'April 26'!CA4+'May 26'!CA4+'June 26'!CA4</f>
        <v>0</v>
      </c>
      <c r="CD4" s="7">
        <f>'July 25'!CB4 + 'August 25'!CB4 +'Sept 25'!CB4 + 'Oct 25'!CB4 + 'Nov 25'!CB4+ 'Dec 25'!CB4 +'Jan 26'!CB4+'Feb 26'!CB4+'March 26'!CB4+'April 26'!CB4+'May 26'!CB4+'June 26'!CB4</f>
        <v>0</v>
      </c>
      <c r="CE4" s="7">
        <f>'July 25'!CC4 + 'August 25'!CC4 +'Sept 25'!CC4 + 'Oct 25'!CC4 + 'Nov 25'!CC4+ 'Dec 25'!CC4 +'Jan 26'!CC4+'Feb 26'!CC4+'March 26'!CC4+'April 26'!CC4+'May 26'!CC4+'June 26'!CC4</f>
        <v>0</v>
      </c>
      <c r="CF4" s="9" cm="1">
        <f t="array" ref="CF4">SUMPRODUCT(--(UPPER($F$2:$CE$2)="NET NEW"),$F4:$CE4)</f>
        <v>0</v>
      </c>
      <c r="CG4" s="4">
        <f>SUMIF($F$2:$CE$2,"Enhance Existing",$F4:$CE4)</f>
        <v>656</v>
      </c>
      <c r="CH4" s="4">
        <f>SUMIF($F$2:$CE$2,"Maintenance",$F4:$CE4)</f>
        <v>664</v>
      </c>
    </row>
    <row r="5" spans="1:86" ht="15.95">
      <c r="A5" s="7" t="s">
        <v>38</v>
      </c>
      <c r="B5" s="7" t="s">
        <v>43</v>
      </c>
      <c r="C5" s="7" t="s">
        <v>44</v>
      </c>
      <c r="D5" s="12"/>
      <c r="E5" s="7"/>
      <c r="F5" s="7">
        <f>'July 25'!D5 + 'August 25'!D5 +'Sept 25'!D5 + 'Oct 25'!D5 + 'Nov 25'!D5+ 'Dec 25'!D5 +'Jan 26'!D5+'Feb 26'!D5+'March 26'!D5+'April 26'!D5+'May 26'!D5+'June 26'!D5</f>
        <v>0</v>
      </c>
      <c r="G5" s="7">
        <f>'July 25'!E5 + 'August 25'!E5 +'Sept 25'!E5 + 'Oct 25'!E5 + 'Nov 25'!E5+ 'Dec 25'!E5 +'Jan 26'!E5+'Feb 26'!E5+'March 26'!E5+'April 26'!E5+'May 26'!E5+'June 26'!E5</f>
        <v>0</v>
      </c>
      <c r="H5" s="7">
        <f>'July 25'!F5 + 'August 25'!F5 +'Sept 25'!F5 + 'Oct 25'!F5 + 'Nov 25'!F5+ 'Dec 25'!F5 +'Jan 26'!F5+'Feb 26'!F5+'March 26'!F5+'April 26'!F5+'May 26'!F5+'June 26'!F5</f>
        <v>0</v>
      </c>
      <c r="I5" s="7">
        <f>'July 25'!G5 + 'August 25'!G5 +'Sept 25'!G5 + 'Oct 25'!G5 + 'Nov 25'!G5+ 'Dec 25'!G5 +'Jan 26'!G5+'Feb 26'!G5+'March 26'!G5+'April 26'!G5+'May 26'!G5+'June 26'!G5</f>
        <v>1440</v>
      </c>
      <c r="J5" s="7">
        <f>'July 25'!H5 + 'August 25'!H5 +'Sept 25'!H5 + 'Oct 25'!H5 + 'Nov 25'!H5+ 'Dec 25'!H5 +'Jan 26'!H5+'Feb 26'!H5+'March 26'!H5+'April 26'!H5+'May 26'!H5+'June 26'!H5</f>
        <v>0</v>
      </c>
      <c r="K5" s="7">
        <f>'July 25'!I5 + 'August 25'!I5 +'Sept 25'!I5 + 'Oct 25'!I5 + 'Nov 25'!I5+ 'Dec 25'!I5 +'Jan 26'!I5+'Feb 26'!I5+'March 26'!I5+'April 26'!I5+'May 26'!I5+'June 26'!I5</f>
        <v>0</v>
      </c>
      <c r="L5" s="7">
        <f>'July 25'!J5 + 'August 25'!J5 +'Sept 25'!J5 + 'Oct 25'!J5 + 'Nov 25'!J5+ 'Dec 25'!J5 +'Jan 26'!J5+'Feb 26'!J5+'March 26'!J5+'April 26'!J5+'May 26'!J5+'June 26'!J5</f>
        <v>0</v>
      </c>
      <c r="M5" s="7">
        <f>'July 25'!K5 + 'August 25'!K5 +'Sept 25'!K5 + 'Oct 25'!K5 + 'Nov 25'!K5+ 'Dec 25'!K5 +'Jan 26'!K5+'Feb 26'!K5+'March 26'!K5+'April 26'!K5+'May 26'!K5+'June 26'!K5</f>
        <v>0</v>
      </c>
      <c r="N5" s="7">
        <f>'July 25'!L5 + 'August 25'!L5 +'Sept 25'!L5 + 'Oct 25'!L5 + 'Nov 25'!L5+ 'Dec 25'!L5 +'Jan 26'!L5+'Feb 26'!L5+'March 26'!L5+'April 26'!L5+'May 26'!L5+'June 26'!L5</f>
        <v>0</v>
      </c>
      <c r="O5" s="7">
        <f>'July 25'!M5 + 'August 25'!M5 +'Sept 25'!M5 + 'Oct 25'!M5 + 'Nov 25'!M5+ 'Dec 25'!M5 +'Jan 26'!M5+'Feb 26'!M5+'March 26'!M5+'April 26'!M5+'May 26'!M5+'June 26'!M5</f>
        <v>0</v>
      </c>
      <c r="P5" s="7">
        <f>'July 25'!N5 + 'August 25'!N5 +'Sept 25'!N5 + 'Oct 25'!N5 + 'Nov 25'!N5+ 'Dec 25'!N5 +'Jan 26'!N5+'Feb 26'!N5+'March 26'!N5+'April 26'!N5+'May 26'!N5+'June 26'!N5</f>
        <v>0</v>
      </c>
      <c r="Q5" s="7">
        <f>'July 25'!O5 + 'August 25'!O5 +'Sept 25'!O5 + 'Oct 25'!O5 + 'Nov 25'!O5+ 'Dec 25'!O5 +'Jan 26'!O5+'Feb 26'!O5+'March 26'!O5+'April 26'!O5+'May 26'!O5+'June 26'!O5</f>
        <v>0</v>
      </c>
      <c r="R5" s="7">
        <f>'July 25'!P5 + 'August 25'!P5 +'Sept 25'!P5 + 'Oct 25'!P5 + 'Nov 25'!P5+ 'Dec 25'!P5 +'Jan 26'!P5+'Feb 26'!P5+'March 26'!P5+'April 26'!P5+'May 26'!P5+'June 26'!P5</f>
        <v>0</v>
      </c>
      <c r="S5" s="7">
        <f>'July 25'!Q5 + 'August 25'!Q5 +'Sept 25'!Q5 + 'Oct 25'!Q5 + 'Nov 25'!Q5+ 'Dec 25'!Q5 +'Jan 26'!Q5+'Feb 26'!Q5+'March 26'!Q5+'April 26'!Q5+'May 26'!Q5+'June 26'!Q5</f>
        <v>0</v>
      </c>
      <c r="T5" s="7">
        <f>'July 25'!R5 + 'August 25'!R5 +'Sept 25'!R5 + 'Oct 25'!R5 + 'Nov 25'!R5+ 'Dec 25'!R5 +'Jan 26'!R5+'Feb 26'!R5+'March 26'!R5+'April 26'!R5+'May 26'!R5+'June 26'!R5</f>
        <v>0</v>
      </c>
      <c r="U5" s="7">
        <f>'July 25'!S5 + 'August 25'!S5 +'Sept 25'!S5 + 'Oct 25'!S5 + 'Nov 25'!S5+ 'Dec 25'!S5 +'Jan 26'!S5+'Feb 26'!S5+'March 26'!S5+'April 26'!S5+'May 26'!S5+'June 26'!S5</f>
        <v>0</v>
      </c>
      <c r="V5" s="7">
        <f>'July 25'!T5 + 'August 25'!T5 +'Sept 25'!T5 + 'Oct 25'!T5 + 'Nov 25'!T5+ 'Dec 25'!T5 +'Jan 26'!T5+'Feb 26'!T5+'March 26'!T5+'April 26'!T5+'May 26'!T5+'June 26'!T5</f>
        <v>0</v>
      </c>
      <c r="W5" s="7">
        <f>'July 25'!U5 + 'August 25'!U5 +'Sept 25'!U5 + 'Oct 25'!U5 + 'Nov 25'!U5+ 'Dec 25'!U5 +'Jan 26'!U5+'Feb 26'!U5+'March 26'!U5+'April 26'!U5+'May 26'!U5+'June 26'!U5</f>
        <v>0</v>
      </c>
      <c r="X5" s="7">
        <f>'July 25'!V5 + 'August 25'!V5 +'Sept 25'!V5 + 'Oct 25'!V5 + 'Nov 25'!V5+ 'Dec 25'!V5 +'Jan 26'!V5+'Feb 26'!V5+'March 26'!V5+'April 26'!V5+'May 26'!V5+'June 26'!V5</f>
        <v>0</v>
      </c>
      <c r="Y5" s="7">
        <f>'July 25'!W5 + 'August 25'!W5 +'Sept 25'!W5 + 'Oct 25'!W5 + 'Nov 25'!W5+ 'Dec 25'!W5 +'Jan 26'!W5+'Feb 26'!W5+'March 26'!W5+'April 26'!W5+'May 26'!W5+'June 26'!W5</f>
        <v>0</v>
      </c>
      <c r="Z5" s="7">
        <f>'July 25'!X5 + 'August 25'!X5 +'Sept 25'!X5 + 'Oct 25'!X5 + 'Nov 25'!X5+ 'Dec 25'!X5 +'Jan 26'!X5+'Feb 26'!X5+'March 26'!X5+'April 26'!X5+'May 26'!X5+'June 26'!X5</f>
        <v>0</v>
      </c>
      <c r="AA5" s="7">
        <f>'July 25'!Y5 + 'August 25'!Y5 +'Sept 25'!Y5 + 'Oct 25'!Y5 + 'Nov 25'!Y5+ 'Dec 25'!Y5 +'Jan 26'!Y5+'Feb 26'!Y5+'March 26'!Y5+'April 26'!Y5+'May 26'!Y5+'June 26'!Y5</f>
        <v>0</v>
      </c>
      <c r="AB5" s="7">
        <f>'July 25'!Z5 + 'August 25'!Z5 +'Sept 25'!Z5 + 'Oct 25'!Z5 + 'Nov 25'!Z5+ 'Dec 25'!Z5 +'Jan 26'!Z5+'Feb 26'!Z5+'March 26'!Z5+'April 26'!Z5+'May 26'!Z5+'June 26'!Z5</f>
        <v>0</v>
      </c>
      <c r="AC5" s="7">
        <f>'July 25'!AA5 + 'August 25'!AA5 +'Sept 25'!AA5 + 'Oct 25'!AA5 + 'Nov 25'!AA5+ 'Dec 25'!AA5 +'Jan 26'!AA5+'Feb 26'!AA5+'March 26'!AA5+'April 26'!AA5+'May 26'!AA5+'June 26'!AA5</f>
        <v>0</v>
      </c>
      <c r="AD5" s="7">
        <f>'July 25'!AB5 + 'August 25'!AB5 +'Sept 25'!AB5 + 'Oct 25'!AB5 + 'Nov 25'!AB5+ 'Dec 25'!AB5 +'Jan 26'!AB5+'Feb 26'!AB5+'March 26'!AB5+'April 26'!AB5+'May 26'!AB5+'June 26'!AB5</f>
        <v>0</v>
      </c>
      <c r="AE5" s="7">
        <f>'July 25'!AC5 + 'August 25'!AC5 +'Sept 25'!AC5 + 'Oct 25'!AC5 + 'Nov 25'!AC5+ 'Dec 25'!AC5 +'Jan 26'!AC5+'Feb 26'!AC5+'March 26'!AC5+'April 26'!AC5+'May 26'!AC5+'June 26'!AC5</f>
        <v>0</v>
      </c>
      <c r="AF5" s="7">
        <f>'July 25'!AD5 + 'August 25'!AD5 +'Sept 25'!AD5 + 'Oct 25'!AD5 + 'Nov 25'!AD5+ 'Dec 25'!AD5 +'Jan 26'!AD5+'Feb 26'!AD5+'March 26'!AD5+'April 26'!AD5+'May 26'!AD5+'June 26'!AD5</f>
        <v>0</v>
      </c>
      <c r="AG5" s="7">
        <f>'July 25'!AE5 + 'August 25'!AE5 +'Sept 25'!AE5 + 'Oct 25'!AE5 + 'Nov 25'!AE5+ 'Dec 25'!AE5 +'Jan 26'!AE5+'Feb 26'!AE5+'March 26'!AE5+'April 26'!AE5+'May 26'!AE5+'June 26'!AE5</f>
        <v>0</v>
      </c>
      <c r="AH5" s="7">
        <f>'July 25'!AF5 + 'August 25'!AF5 +'Sept 25'!AF5 + 'Oct 25'!AF5 + 'Nov 25'!AF5+ 'Dec 25'!AF5 +'Jan 26'!AF5+'Feb 26'!AF5+'March 26'!AF5+'April 26'!AF5+'May 26'!AF5+'June 26'!AF5</f>
        <v>0</v>
      </c>
      <c r="AI5" s="7">
        <f>'July 25'!AG5 + 'August 25'!AG5 +'Sept 25'!AG5 + 'Oct 25'!AG5 + 'Nov 25'!AG5+ 'Dec 25'!AG5 +'Jan 26'!AG5+'Feb 26'!AG5+'March 26'!AG5+'April 26'!AG5+'May 26'!AG5+'June 26'!AG5</f>
        <v>0</v>
      </c>
      <c r="AJ5" s="7">
        <f>'July 25'!AH5 + 'August 25'!AH5 +'Sept 25'!AH5 + 'Oct 25'!AH5 + 'Nov 25'!AH5+ 'Dec 25'!AH5 +'Jan 26'!AH5+'Feb 26'!AH5+'March 26'!AH5+'April 26'!AH5+'May 26'!AH5+'June 26'!AH5</f>
        <v>0</v>
      </c>
      <c r="AK5" s="7">
        <f>'July 25'!AI5 + 'August 25'!AI5 +'Sept 25'!AI5 + 'Oct 25'!AI5 + 'Nov 25'!AI5+ 'Dec 25'!AI5 +'Jan 26'!AI5+'Feb 26'!AI5+'March 26'!AI5+'April 26'!AI5+'May 26'!AI5+'June 26'!AI5</f>
        <v>0</v>
      </c>
      <c r="AL5" s="7">
        <f>'July 25'!AJ5 + 'August 25'!AJ5 +'Sept 25'!AJ5 + 'Oct 25'!AJ5 + 'Nov 25'!AJ5+ 'Dec 25'!AJ5 +'Jan 26'!AJ5+'Feb 26'!AJ5+'March 26'!AJ5+'April 26'!AJ5+'May 26'!AJ5+'June 26'!AJ5</f>
        <v>0</v>
      </c>
      <c r="AM5" s="7">
        <f>'July 25'!AK5 + 'August 25'!AK5 +'Sept 25'!AK5 + 'Oct 25'!AK5 + 'Nov 25'!AK5+ 'Dec 25'!AK5 +'Jan 26'!AK5+'Feb 26'!AK5+'March 26'!AK5+'April 26'!AK5+'May 26'!AK5+'June 26'!AK5</f>
        <v>0</v>
      </c>
      <c r="AN5" s="7">
        <f>'July 25'!AL5 + 'August 25'!AL5 +'Sept 25'!AL5 + 'Oct 25'!AL5 + 'Nov 25'!AL5+ 'Dec 25'!AL5 +'Jan 26'!AL5+'Feb 26'!AL5+'March 26'!AL5+'April 26'!AL5+'May 26'!AL5+'June 26'!AL5</f>
        <v>0</v>
      </c>
      <c r="AO5" s="7">
        <f>'July 25'!AM5 + 'August 25'!AM5 +'Sept 25'!AM5 + 'Oct 25'!AM5 + 'Nov 25'!AM5+ 'Dec 25'!AM5 +'Jan 26'!AM5+'Feb 26'!AM5+'March 26'!AM5+'April 26'!AM5+'May 26'!AM5+'June 26'!AM5</f>
        <v>0</v>
      </c>
      <c r="AP5" s="7">
        <f>'July 25'!AN5 + 'August 25'!AN5 +'Sept 25'!AN5 + 'Oct 25'!AN5 + 'Nov 25'!AN5+ 'Dec 25'!AN5 +'Jan 26'!AN5+'Feb 26'!AN5+'March 26'!AN5+'April 26'!AN5+'May 26'!AN5+'June 26'!AN5</f>
        <v>0</v>
      </c>
      <c r="AQ5" s="7">
        <f>'July 25'!AO5 + 'August 25'!AO5 +'Sept 25'!AO5 + 'Oct 25'!AO5 + 'Nov 25'!AO5+ 'Dec 25'!AO5 +'Jan 26'!AO5+'Feb 26'!AO5+'March 26'!AO5+'April 26'!AO5+'May 26'!AO5+'June 26'!AO5</f>
        <v>0</v>
      </c>
      <c r="AR5" s="7">
        <f>'July 25'!AP5 + 'August 25'!AP5 +'Sept 25'!AP5 + 'Oct 25'!AP5 + 'Nov 25'!AP5+ 'Dec 25'!AP5 +'Jan 26'!AP5+'Feb 26'!AP5+'March 26'!AP5+'April 26'!AP5+'May 26'!AP5+'June 26'!AP5</f>
        <v>0</v>
      </c>
      <c r="AS5" s="7">
        <f>'July 25'!AQ5 + 'August 25'!AQ5 +'Sept 25'!AQ5 + 'Oct 25'!AQ5 + 'Nov 25'!AQ5+ 'Dec 25'!AQ5 +'Jan 26'!AQ5+'Feb 26'!AQ5+'March 26'!AQ5+'April 26'!AQ5+'May 26'!AQ5+'June 26'!AQ5</f>
        <v>0</v>
      </c>
      <c r="AT5" s="7">
        <f>'July 25'!AR5 + 'August 25'!AR5 +'Sept 25'!AR5 + 'Oct 25'!AR5 + 'Nov 25'!AR5+ 'Dec 25'!AR5 +'Jan 26'!AR5+'Feb 26'!AR5+'March 26'!AR5+'April 26'!AR5+'May 26'!AR5+'June 26'!AR5</f>
        <v>0</v>
      </c>
      <c r="AU5" s="7">
        <f>'July 25'!AS5 + 'August 25'!AS5 +'Sept 25'!AS5 + 'Oct 25'!AS5 + 'Nov 25'!AS5+ 'Dec 25'!AS5 +'Jan 26'!AS5+'Feb 26'!AS5+'March 26'!AS5+'April 26'!AS5+'May 26'!AS5+'June 26'!AS5</f>
        <v>0</v>
      </c>
      <c r="AV5" s="7">
        <f>'July 25'!AT5 + 'August 25'!AT5 +'Sept 25'!AT5 + 'Oct 25'!AT5 + 'Nov 25'!AT5+ 'Dec 25'!AT5 +'Jan 26'!AT5+'Feb 26'!AT5+'March 26'!AT5+'April 26'!AT5+'May 26'!AT5+'June 26'!AT5</f>
        <v>0</v>
      </c>
      <c r="AW5" s="7">
        <f>'July 25'!AU5 + 'August 25'!AU5 +'Sept 25'!AU5 + 'Oct 25'!AU5 + 'Nov 25'!AU5+ 'Dec 25'!AU5 +'Jan 26'!AU5+'Feb 26'!AU5+'March 26'!AU5+'April 26'!AU5+'May 26'!AU5+'June 26'!AU5</f>
        <v>0</v>
      </c>
      <c r="AX5" s="7">
        <f>'July 25'!AV5 + 'August 25'!AV5 +'Sept 25'!AV5 + 'Oct 25'!AV5 + 'Nov 25'!AV5+ 'Dec 25'!AV5 +'Jan 26'!AV5+'Feb 26'!AV5+'March 26'!AV5+'April 26'!AV5+'May 26'!AV5+'June 26'!AV5</f>
        <v>0</v>
      </c>
      <c r="AY5" s="7">
        <f>'July 25'!AW5 + 'August 25'!AW5 +'Sept 25'!AW5 + 'Oct 25'!AW5 + 'Nov 25'!AW5+ 'Dec 25'!AW5 +'Jan 26'!AW5+'Feb 26'!AW5+'March 26'!AW5+'April 26'!AW5+'May 26'!AW5+'June 26'!AW5</f>
        <v>0</v>
      </c>
      <c r="AZ5" s="7">
        <f>'July 25'!AX5 + 'August 25'!AX5 +'Sept 25'!AX5 + 'Oct 25'!AX5 + 'Nov 25'!AX5+ 'Dec 25'!AX5 +'Jan 26'!AX5+'Feb 26'!AX5+'March 26'!AX5+'April 26'!AX5+'May 26'!AX5+'June 26'!AX5</f>
        <v>0</v>
      </c>
      <c r="BA5" s="7">
        <f>'July 25'!AY5 + 'August 25'!AY5 +'Sept 25'!AY5 + 'Oct 25'!AY5 + 'Nov 25'!AY5+ 'Dec 25'!AY5 +'Jan 26'!AY5+'Feb 26'!AY5+'March 26'!AY5+'April 26'!AY5+'May 26'!AY5+'June 26'!AY5</f>
        <v>0</v>
      </c>
      <c r="BB5" s="7">
        <f>'July 25'!AZ5 + 'August 25'!AZ5 +'Sept 25'!AZ5 + 'Oct 25'!AZ5 + 'Nov 25'!AZ5+ 'Dec 25'!AZ5 +'Jan 26'!AZ5+'Feb 26'!AZ5+'March 26'!AZ5+'April 26'!AZ5+'May 26'!AZ5+'June 26'!AZ5</f>
        <v>0</v>
      </c>
      <c r="BC5" s="7">
        <f>'July 25'!BA5 + 'August 25'!BA5 +'Sept 25'!BA5 + 'Oct 25'!BA5 + 'Nov 25'!BA5+ 'Dec 25'!BA5 +'Jan 26'!BA5+'Feb 26'!BA5+'March 26'!BA5+'April 26'!BA5+'May 26'!BA5+'June 26'!BA5</f>
        <v>0</v>
      </c>
      <c r="BD5" s="7">
        <f>'July 25'!BB5 + 'August 25'!BB5 +'Sept 25'!BB5 + 'Oct 25'!BB5 + 'Nov 25'!BB5+ 'Dec 25'!BB5 +'Jan 26'!BB5+'Feb 26'!BB5+'March 26'!BB5+'April 26'!BB5+'May 26'!BB5+'June 26'!BB5</f>
        <v>0</v>
      </c>
      <c r="BE5" s="7">
        <f>'July 25'!BC5 + 'August 25'!BC5 +'Sept 25'!BC5 + 'Oct 25'!BC5 + 'Nov 25'!BC5+ 'Dec 25'!BC5 +'Jan 26'!BC5+'Feb 26'!BC5+'March 26'!BC5+'April 26'!BC5+'May 26'!BC5+'June 26'!BC5</f>
        <v>0</v>
      </c>
      <c r="BF5" s="7">
        <f>'July 25'!BD5 + 'August 25'!BD5 +'Sept 25'!BD5 + 'Oct 25'!BD5 + 'Nov 25'!BD5+ 'Dec 25'!BD5 +'Jan 26'!BD5+'Feb 26'!BD5+'March 26'!BD5+'April 26'!BD5+'May 26'!BD5+'June 26'!BD5</f>
        <v>0</v>
      </c>
      <c r="BG5" s="7">
        <f>'July 25'!BE5 + 'August 25'!BE5 +'Sept 25'!BE5 + 'Oct 25'!BE5 + 'Nov 25'!BE5+ 'Dec 25'!BE5 +'Jan 26'!BE5+'Feb 26'!BE5+'March 26'!BE5+'April 26'!BE5+'May 26'!BE5+'June 26'!BE5</f>
        <v>0</v>
      </c>
      <c r="BH5" s="7">
        <f>'July 25'!BF5 + 'August 25'!BF5 +'Sept 25'!BF5 + 'Oct 25'!BF5 + 'Nov 25'!BF5+ 'Dec 25'!BF5 +'Jan 26'!BF5+'Feb 26'!BF5+'March 26'!BF5+'April 26'!BF5+'May 26'!BF5+'June 26'!BF5</f>
        <v>0</v>
      </c>
      <c r="BI5" s="7">
        <f>'July 25'!BG5 + 'August 25'!BG5 +'Sept 25'!BG5 + 'Oct 25'!BG5 + 'Nov 25'!BG5+ 'Dec 25'!BG5 +'Jan 26'!BG5+'Feb 26'!BG5+'March 26'!BG5+'April 26'!BG5+'May 26'!BG5+'June 26'!BG5</f>
        <v>0</v>
      </c>
      <c r="BJ5" s="7">
        <f>'July 25'!BH5 + 'August 25'!BH5 +'Sept 25'!BH5 + 'Oct 25'!BH5 + 'Nov 25'!BH5+ 'Dec 25'!BH5 +'Jan 26'!BH5+'Feb 26'!BH5+'March 26'!BH5+'April 26'!BH5+'May 26'!BH5+'June 26'!BH5</f>
        <v>0</v>
      </c>
      <c r="BK5" s="7">
        <f>'July 25'!BI5 + 'August 25'!BI5 +'Sept 25'!BI5 + 'Oct 25'!BI5 + 'Nov 25'!BI5+ 'Dec 25'!BI5 +'Jan 26'!BI5+'Feb 26'!BI5+'March 26'!BI5+'April 26'!BI5+'May 26'!BI5+'June 26'!BI5</f>
        <v>0</v>
      </c>
      <c r="BL5" s="7">
        <f>'July 25'!BJ5 + 'August 25'!BJ5 +'Sept 25'!BJ5 + 'Oct 25'!BJ5 + 'Nov 25'!BJ5+ 'Dec 25'!BJ5 +'Jan 26'!BJ5+'Feb 26'!BJ5+'March 26'!BJ5+'April 26'!BJ5+'May 26'!BJ5+'June 26'!BJ5</f>
        <v>0</v>
      </c>
      <c r="BM5" s="7">
        <f>'July 25'!BK5 + 'August 25'!BK5 +'Sept 25'!BK5 + 'Oct 25'!BK5 + 'Nov 25'!BK5+ 'Dec 25'!BK5 +'Jan 26'!BK5+'Feb 26'!BK5+'March 26'!BK5+'April 26'!BK5+'May 26'!BK5+'June 26'!BK5</f>
        <v>0</v>
      </c>
      <c r="BN5" s="7">
        <f>'July 25'!BL5 + 'August 25'!BL5 +'Sept 25'!BL5 + 'Oct 25'!BL5 + 'Nov 25'!BL5+ 'Dec 25'!BL5 +'Jan 26'!BL5+'Feb 26'!BL5+'March 26'!BL5+'April 26'!BL5+'May 26'!BL5+'June 26'!BL5</f>
        <v>0</v>
      </c>
      <c r="BO5" s="7">
        <f>'July 25'!BM5 + 'August 25'!BM5 +'Sept 25'!BM5 + 'Oct 25'!BM5 + 'Nov 25'!BM5+ 'Dec 25'!BM5 +'Jan 26'!BM5+'Feb 26'!BM5+'March 26'!BM5+'April 26'!BM5+'May 26'!BM5+'June 26'!BM5</f>
        <v>0</v>
      </c>
      <c r="BP5" s="7">
        <f>'July 25'!BN5 + 'August 25'!BN5 +'Sept 25'!BN5 + 'Oct 25'!BN5 + 'Nov 25'!BN5+ 'Dec 25'!BN5 +'Jan 26'!BN5+'Feb 26'!BN5+'March 26'!BN5+'April 26'!BN5+'May 26'!BN5+'June 26'!BN5</f>
        <v>0</v>
      </c>
      <c r="BQ5" s="7">
        <f>'July 25'!BO5 + 'August 25'!BO5 +'Sept 25'!BO5 + 'Oct 25'!BO5 + 'Nov 25'!BO5+ 'Dec 25'!BO5 +'Jan 26'!BO5+'Feb 26'!BO5+'March 26'!BO5+'April 26'!BO5+'May 26'!BO5+'June 26'!BO5</f>
        <v>0</v>
      </c>
      <c r="BR5" s="7">
        <f>'July 25'!BP5 + 'August 25'!BP5 +'Sept 25'!BP5 + 'Oct 25'!BP5 + 'Nov 25'!BP5+ 'Dec 25'!BP5 +'Jan 26'!BP5+'Feb 26'!BP5+'March 26'!BP5+'April 26'!BP5+'May 26'!BP5+'June 26'!BP5</f>
        <v>0</v>
      </c>
      <c r="BS5" s="7">
        <f>'July 25'!BQ5 + 'August 25'!BQ5 +'Sept 25'!BQ5 + 'Oct 25'!BQ5 + 'Nov 25'!BQ5+ 'Dec 25'!BQ5 +'Jan 26'!BQ5+'Feb 26'!BQ5+'March 26'!BQ5+'April 26'!BQ5+'May 26'!BQ5+'June 26'!BQ5</f>
        <v>0</v>
      </c>
      <c r="BT5" s="7">
        <f>'July 25'!BR5 + 'August 25'!BR5 +'Sept 25'!BR5 + 'Oct 25'!BR5 + 'Nov 25'!BR5+ 'Dec 25'!BR5 +'Jan 26'!BR5+'Feb 26'!BR5+'March 26'!BR5+'April 26'!BR5+'May 26'!BR5+'June 26'!BR5</f>
        <v>0</v>
      </c>
      <c r="BU5" s="7">
        <f>'July 25'!BS5 + 'August 25'!BS5 +'Sept 25'!BS5 + 'Oct 25'!BS5 + 'Nov 25'!BS5+ 'Dec 25'!BS5 +'Jan 26'!BS5+'Feb 26'!BS5+'March 26'!BS5+'April 26'!BS5+'May 26'!BS5+'June 26'!BS5</f>
        <v>0</v>
      </c>
      <c r="BV5" s="7">
        <f>'July 25'!BT5 + 'August 25'!BT5 +'Sept 25'!BT5 + 'Oct 25'!BT5 + 'Nov 25'!BT5+ 'Dec 25'!BT5 +'Jan 26'!BT5+'Feb 26'!BT5+'March 26'!BT5+'April 26'!BT5+'May 26'!BT5+'June 26'!BT5</f>
        <v>0</v>
      </c>
      <c r="BW5" s="7">
        <f>'July 25'!BU5 + 'August 25'!BU5 +'Sept 25'!BU5 + 'Oct 25'!BU5 + 'Nov 25'!BU5+ 'Dec 25'!BU5 +'Jan 26'!BU5+'Feb 26'!BU5+'March 26'!BU5+'April 26'!BU5+'May 26'!BU5+'June 26'!BU5</f>
        <v>0</v>
      </c>
      <c r="BX5" s="7">
        <f>'July 25'!BV5 + 'August 25'!BV5 +'Sept 25'!BV5 + 'Oct 25'!BV5 + 'Nov 25'!BV5+ 'Dec 25'!BV5 +'Jan 26'!BV5+'Feb 26'!BV5+'March 26'!BV5+'April 26'!BV5+'May 26'!BV5+'June 26'!BV5</f>
        <v>0</v>
      </c>
      <c r="BY5" s="7">
        <f>'July 25'!BW5 + 'August 25'!BW5 +'Sept 25'!BW5 + 'Oct 25'!BW5 + 'Nov 25'!BW5+ 'Dec 25'!BW5 +'Jan 26'!BW5+'Feb 26'!BW5+'March 26'!BW5+'April 26'!BW5+'May 26'!BW5+'June 26'!BW5</f>
        <v>0</v>
      </c>
      <c r="BZ5" s="7">
        <f>'July 25'!BX5 + 'August 25'!BX5 +'Sept 25'!BX5 + 'Oct 25'!BX5 + 'Nov 25'!BX5+ 'Dec 25'!BX5 +'Jan 26'!BX5+'Feb 26'!BX5+'March 26'!BX5+'April 26'!BX5+'May 26'!BX5+'June 26'!BX5</f>
        <v>0</v>
      </c>
      <c r="CA5" s="7">
        <f>'July 25'!BY5 + 'August 25'!BY5 +'Sept 25'!BY5 + 'Oct 25'!BY5 + 'Nov 25'!BY5+ 'Dec 25'!BY5 +'Jan 26'!BY5+'Feb 26'!BY5+'March 26'!BY5+'April 26'!BY5+'May 26'!BY5+'June 26'!BY5</f>
        <v>0</v>
      </c>
      <c r="CB5" s="7">
        <f>'July 25'!BZ5 + 'August 25'!BZ5 +'Sept 25'!BZ5 + 'Oct 25'!BZ5 + 'Nov 25'!BZ5+ 'Dec 25'!BZ5 +'Jan 26'!BZ5+'Feb 26'!BZ5+'March 26'!BZ5+'April 26'!BZ5+'May 26'!BZ5+'June 26'!BZ5</f>
        <v>0</v>
      </c>
      <c r="CC5" s="7">
        <f>'July 25'!CA5 + 'August 25'!CA5 +'Sept 25'!CA5 + 'Oct 25'!CA5 + 'Nov 25'!CA5+ 'Dec 25'!CA5 +'Jan 26'!CA5+'Feb 26'!CA5+'March 26'!CA5+'April 26'!CA5+'May 26'!CA5+'June 26'!CA5</f>
        <v>0</v>
      </c>
      <c r="CD5" s="7">
        <f>'July 25'!CB5 + 'August 25'!CB5 +'Sept 25'!CB5 + 'Oct 25'!CB5 + 'Nov 25'!CB5+ 'Dec 25'!CB5 +'Jan 26'!CB5+'Feb 26'!CB5+'March 26'!CB5+'April 26'!CB5+'May 26'!CB5+'June 26'!CB5</f>
        <v>0</v>
      </c>
      <c r="CE5" s="7">
        <f>'July 25'!CC5 + 'August 25'!CC5 +'Sept 25'!CC5 + 'Oct 25'!CC5 + 'Nov 25'!CC5+ 'Dec 25'!CC5 +'Jan 26'!CC5+'Feb 26'!CC5+'March 26'!CC5+'April 26'!CC5+'May 26'!CC5+'June 26'!CC5</f>
        <v>0</v>
      </c>
      <c r="CF5" s="8" cm="1">
        <f t="array" ref="CF5">SUMPRODUCT(--(UPPER($F$2:$CE$2)="NET NEW"),$F5:$CE5)</f>
        <v>1440</v>
      </c>
      <c r="CG5" s="3">
        <f>SUMIF($F$2:$CE$2,"Enhance Existing",$F5:$CE5)</f>
        <v>0</v>
      </c>
      <c r="CH5" s="3">
        <f>SUMIF($F$2:$CE$2,"Maintenance",$F5:$CE5)</f>
        <v>0</v>
      </c>
    </row>
    <row r="6" spans="1:86" ht="15.95">
      <c r="A6" s="7" t="s">
        <v>41</v>
      </c>
      <c r="B6" s="7" t="s">
        <v>39</v>
      </c>
      <c r="C6" s="7" t="s">
        <v>45</v>
      </c>
      <c r="D6" s="12">
        <v>82</v>
      </c>
      <c r="E6" s="7"/>
      <c r="F6" s="7">
        <f>'July 25'!D6 + 'August 25'!D6 +'Sept 25'!D6 + 'Oct 25'!D6 + 'Nov 25'!D6+ 'Dec 25'!D6 +'Jan 26'!D6+'Feb 26'!D6+'March 26'!D6+'April 26'!D6+'May 26'!D6+'June 26'!D6</f>
        <v>0</v>
      </c>
      <c r="G6" s="7">
        <f>'July 25'!E6 + 'August 25'!E6 +'Sept 25'!E6 + 'Oct 25'!E6 + 'Nov 25'!E6+ 'Dec 25'!E6 +'Jan 26'!E6+'Feb 26'!E6+'March 26'!E6+'April 26'!E6+'May 26'!E6+'June 26'!E6</f>
        <v>0</v>
      </c>
      <c r="H6" s="7">
        <f>'July 25'!F6 + 'August 25'!F6 +'Sept 25'!F6 + 'Oct 25'!F6 + 'Nov 25'!F6+ 'Dec 25'!F6 +'Jan 26'!F6+'Feb 26'!F6+'March 26'!F6+'April 26'!F6+'May 26'!F6+'June 26'!F6</f>
        <v>0</v>
      </c>
      <c r="I6" s="7">
        <f>'July 25'!G6 + 'August 25'!G6 +'Sept 25'!G6 + 'Oct 25'!G6 + 'Nov 25'!G6+ 'Dec 25'!G6 +'Jan 26'!G6+'Feb 26'!G6+'March 26'!G6+'April 26'!G6+'May 26'!G6+'June 26'!G6</f>
        <v>0</v>
      </c>
      <c r="J6" s="7">
        <f>'July 25'!H6 + 'August 25'!H6 +'Sept 25'!H6 + 'Oct 25'!H6 + 'Nov 25'!H6+ 'Dec 25'!H6 +'Jan 26'!H6+'Feb 26'!H6+'March 26'!H6+'April 26'!H6+'May 26'!H6+'June 26'!H6</f>
        <v>0</v>
      </c>
      <c r="K6" s="7">
        <f>'July 25'!I6 + 'August 25'!I6 +'Sept 25'!I6 + 'Oct 25'!I6 + 'Nov 25'!I6+ 'Dec 25'!I6 +'Jan 26'!I6+'Feb 26'!I6+'March 26'!I6+'April 26'!I6+'May 26'!I6+'June 26'!I6</f>
        <v>0</v>
      </c>
      <c r="L6" s="7">
        <f>'July 25'!J6 + 'August 25'!J6 +'Sept 25'!J6 + 'Oct 25'!J6 + 'Nov 25'!J6+ 'Dec 25'!J6 +'Jan 26'!J6+'Feb 26'!J6+'March 26'!J6+'April 26'!J6+'May 26'!J6+'June 26'!J6</f>
        <v>0</v>
      </c>
      <c r="M6" s="7">
        <f>'July 25'!K6 + 'August 25'!K6 +'Sept 25'!K6 + 'Oct 25'!K6 + 'Nov 25'!K6+ 'Dec 25'!K6 +'Jan 26'!K6+'Feb 26'!K6+'March 26'!K6+'April 26'!K6+'May 26'!K6+'June 26'!K6</f>
        <v>0</v>
      </c>
      <c r="N6" s="7">
        <f>'July 25'!L6 + 'August 25'!L6 +'Sept 25'!L6 + 'Oct 25'!L6 + 'Nov 25'!L6+ 'Dec 25'!L6 +'Jan 26'!L6+'Feb 26'!L6+'March 26'!L6+'April 26'!L6+'May 26'!L6+'June 26'!L6</f>
        <v>0</v>
      </c>
      <c r="O6" s="7">
        <f>'July 25'!M6 + 'August 25'!M6 +'Sept 25'!M6 + 'Oct 25'!M6 + 'Nov 25'!M6+ 'Dec 25'!M6 +'Jan 26'!M6+'Feb 26'!M6+'March 26'!M6+'April 26'!M6+'May 26'!M6+'June 26'!M6</f>
        <v>0</v>
      </c>
      <c r="P6" s="7">
        <f>'July 25'!N6 + 'August 25'!N6 +'Sept 25'!N6 + 'Oct 25'!N6 + 'Nov 25'!N6+ 'Dec 25'!N6 +'Jan 26'!N6+'Feb 26'!N6+'March 26'!N6+'April 26'!N6+'May 26'!N6+'June 26'!N6</f>
        <v>55</v>
      </c>
      <c r="Q6" s="7">
        <f>'July 25'!O6 + 'August 25'!O6 +'Sept 25'!O6 + 'Oct 25'!O6 + 'Nov 25'!O6+ 'Dec 25'!O6 +'Jan 26'!O6+'Feb 26'!O6+'March 26'!O6+'April 26'!O6+'May 26'!O6+'June 26'!O6</f>
        <v>0</v>
      </c>
      <c r="R6" s="7">
        <f>'July 25'!P6 + 'August 25'!P6 +'Sept 25'!P6 + 'Oct 25'!P6 + 'Nov 25'!P6+ 'Dec 25'!P6 +'Jan 26'!P6+'Feb 26'!P6+'March 26'!P6+'April 26'!P6+'May 26'!P6+'June 26'!P6</f>
        <v>0</v>
      </c>
      <c r="S6" s="7">
        <f>'July 25'!Q6 + 'August 25'!Q6 +'Sept 25'!Q6 + 'Oct 25'!Q6 + 'Nov 25'!Q6+ 'Dec 25'!Q6 +'Jan 26'!Q6+'Feb 26'!Q6+'March 26'!Q6+'April 26'!Q6+'May 26'!Q6+'June 26'!Q6</f>
        <v>0</v>
      </c>
      <c r="T6" s="7">
        <f>'July 25'!R6 + 'August 25'!R6 +'Sept 25'!R6 + 'Oct 25'!R6 + 'Nov 25'!R6+ 'Dec 25'!R6 +'Jan 26'!R6+'Feb 26'!R6+'March 26'!R6+'April 26'!R6+'May 26'!R6+'June 26'!R6</f>
        <v>43</v>
      </c>
      <c r="U6" s="7">
        <f>'July 25'!S6 + 'August 25'!S6 +'Sept 25'!S6 + 'Oct 25'!S6 + 'Nov 25'!S6+ 'Dec 25'!S6 +'Jan 26'!S6+'Feb 26'!S6+'March 26'!S6+'April 26'!S6+'May 26'!S6+'June 26'!S6</f>
        <v>0</v>
      </c>
      <c r="V6" s="7">
        <f>'July 25'!T6 + 'August 25'!T6 +'Sept 25'!T6 + 'Oct 25'!T6 + 'Nov 25'!T6+ 'Dec 25'!T6 +'Jan 26'!T6+'Feb 26'!T6+'March 26'!T6+'April 26'!T6+'May 26'!T6+'June 26'!T6</f>
        <v>0</v>
      </c>
      <c r="W6" s="7">
        <f>'July 25'!U6 + 'August 25'!U6 +'Sept 25'!U6 + 'Oct 25'!U6 + 'Nov 25'!U6+ 'Dec 25'!U6 +'Jan 26'!U6+'Feb 26'!U6+'March 26'!U6+'April 26'!U6+'May 26'!U6+'June 26'!U6</f>
        <v>0</v>
      </c>
      <c r="X6" s="7">
        <f>'July 25'!V6 + 'August 25'!V6 +'Sept 25'!V6 + 'Oct 25'!V6 + 'Nov 25'!V6+ 'Dec 25'!V6 +'Jan 26'!V6+'Feb 26'!V6+'March 26'!V6+'April 26'!V6+'May 26'!V6+'June 26'!V6</f>
        <v>0</v>
      </c>
      <c r="Y6" s="7">
        <f>'July 25'!W6 + 'August 25'!W6 +'Sept 25'!W6 + 'Oct 25'!W6 + 'Nov 25'!W6+ 'Dec 25'!W6 +'Jan 26'!W6+'Feb 26'!W6+'March 26'!W6+'April 26'!W6+'May 26'!W6+'June 26'!W6</f>
        <v>0</v>
      </c>
      <c r="Z6" s="7">
        <f>'July 25'!X6 + 'August 25'!X6 +'Sept 25'!X6 + 'Oct 25'!X6 + 'Nov 25'!X6+ 'Dec 25'!X6 +'Jan 26'!X6+'Feb 26'!X6+'March 26'!X6+'April 26'!X6+'May 26'!X6+'June 26'!X6</f>
        <v>0</v>
      </c>
      <c r="AA6" s="7">
        <f>'July 25'!Y6 + 'August 25'!Y6 +'Sept 25'!Y6 + 'Oct 25'!Y6 + 'Nov 25'!Y6+ 'Dec 25'!Y6 +'Jan 26'!Y6+'Feb 26'!Y6+'March 26'!Y6+'April 26'!Y6+'May 26'!Y6+'June 26'!Y6</f>
        <v>0</v>
      </c>
      <c r="AB6" s="7">
        <f>'July 25'!Z6 + 'August 25'!Z6 +'Sept 25'!Z6 + 'Oct 25'!Z6 + 'Nov 25'!Z6+ 'Dec 25'!Z6 +'Jan 26'!Z6+'Feb 26'!Z6+'March 26'!Z6+'April 26'!Z6+'May 26'!Z6+'June 26'!Z6</f>
        <v>0</v>
      </c>
      <c r="AC6" s="7">
        <f>'July 25'!AA6 + 'August 25'!AA6 +'Sept 25'!AA6 + 'Oct 25'!AA6 + 'Nov 25'!AA6+ 'Dec 25'!AA6 +'Jan 26'!AA6+'Feb 26'!AA6+'March 26'!AA6+'April 26'!AA6+'May 26'!AA6+'June 26'!AA6</f>
        <v>15</v>
      </c>
      <c r="AD6" s="7">
        <f>'July 25'!AB6 + 'August 25'!AB6 +'Sept 25'!AB6 + 'Oct 25'!AB6 + 'Nov 25'!AB6+ 'Dec 25'!AB6 +'Jan 26'!AB6+'Feb 26'!AB6+'March 26'!AB6+'April 26'!AB6+'May 26'!AB6+'June 26'!AB6</f>
        <v>0</v>
      </c>
      <c r="AE6" s="7">
        <f>'July 25'!AC6 + 'August 25'!AC6 +'Sept 25'!AC6 + 'Oct 25'!AC6 + 'Nov 25'!AC6+ 'Dec 25'!AC6 +'Jan 26'!AC6+'Feb 26'!AC6+'March 26'!AC6+'April 26'!AC6+'May 26'!AC6+'June 26'!AC6</f>
        <v>0</v>
      </c>
      <c r="AF6" s="7">
        <f>'July 25'!AD6 + 'August 25'!AD6 +'Sept 25'!AD6 + 'Oct 25'!AD6 + 'Nov 25'!AD6+ 'Dec 25'!AD6 +'Jan 26'!AD6+'Feb 26'!AD6+'March 26'!AD6+'April 26'!AD6+'May 26'!AD6+'June 26'!AD6</f>
        <v>275</v>
      </c>
      <c r="AG6" s="7">
        <f>'July 25'!AE6 + 'August 25'!AE6 +'Sept 25'!AE6 + 'Oct 25'!AE6 + 'Nov 25'!AE6+ 'Dec 25'!AE6 +'Jan 26'!AE6+'Feb 26'!AE6+'March 26'!AE6+'April 26'!AE6+'May 26'!AE6+'June 26'!AE6</f>
        <v>0</v>
      </c>
      <c r="AH6" s="7">
        <f>'July 25'!AF6 + 'August 25'!AF6 +'Sept 25'!AF6 + 'Oct 25'!AF6 + 'Nov 25'!AF6+ 'Dec 25'!AF6 +'Jan 26'!AF6+'Feb 26'!AF6+'March 26'!AF6+'April 26'!AF6+'May 26'!AF6+'June 26'!AF6</f>
        <v>0</v>
      </c>
      <c r="AI6" s="7">
        <f>'July 25'!AG6 + 'August 25'!AG6 +'Sept 25'!AG6 + 'Oct 25'!AG6 + 'Nov 25'!AG6+ 'Dec 25'!AG6 +'Jan 26'!AG6+'Feb 26'!AG6+'March 26'!AG6+'April 26'!AG6+'May 26'!AG6+'June 26'!AG6</f>
        <v>0</v>
      </c>
      <c r="AJ6" s="7">
        <f>'July 25'!AH6 + 'August 25'!AH6 +'Sept 25'!AH6 + 'Oct 25'!AH6 + 'Nov 25'!AH6+ 'Dec 25'!AH6 +'Jan 26'!AH6+'Feb 26'!AH6+'March 26'!AH6+'April 26'!AH6+'May 26'!AH6+'June 26'!AH6</f>
        <v>0</v>
      </c>
      <c r="AK6" s="7">
        <f>'July 25'!AI6 + 'August 25'!AI6 +'Sept 25'!AI6 + 'Oct 25'!AI6 + 'Nov 25'!AI6+ 'Dec 25'!AI6 +'Jan 26'!AI6+'Feb 26'!AI6+'March 26'!AI6+'April 26'!AI6+'May 26'!AI6+'June 26'!AI6</f>
        <v>0</v>
      </c>
      <c r="AL6" s="7">
        <f>'July 25'!AJ6 + 'August 25'!AJ6 +'Sept 25'!AJ6 + 'Oct 25'!AJ6 + 'Nov 25'!AJ6+ 'Dec 25'!AJ6 +'Jan 26'!AJ6+'Feb 26'!AJ6+'March 26'!AJ6+'April 26'!AJ6+'May 26'!AJ6+'June 26'!AJ6</f>
        <v>0</v>
      </c>
      <c r="AM6" s="7">
        <f>'July 25'!AK6 + 'August 25'!AK6 +'Sept 25'!AK6 + 'Oct 25'!AK6 + 'Nov 25'!AK6+ 'Dec 25'!AK6 +'Jan 26'!AK6+'Feb 26'!AK6+'March 26'!AK6+'April 26'!AK6+'May 26'!AK6+'June 26'!AK6</f>
        <v>0</v>
      </c>
      <c r="AN6" s="7">
        <f>'July 25'!AL6 + 'August 25'!AL6 +'Sept 25'!AL6 + 'Oct 25'!AL6 + 'Nov 25'!AL6+ 'Dec 25'!AL6 +'Jan 26'!AL6+'Feb 26'!AL6+'March 26'!AL6+'April 26'!AL6+'May 26'!AL6+'June 26'!AL6</f>
        <v>0</v>
      </c>
      <c r="AO6" s="7">
        <f>'July 25'!AM6 + 'August 25'!AM6 +'Sept 25'!AM6 + 'Oct 25'!AM6 + 'Nov 25'!AM6+ 'Dec 25'!AM6 +'Jan 26'!AM6+'Feb 26'!AM6+'March 26'!AM6+'April 26'!AM6+'May 26'!AM6+'June 26'!AM6</f>
        <v>0</v>
      </c>
      <c r="AP6" s="7">
        <f>'July 25'!AN6 + 'August 25'!AN6 +'Sept 25'!AN6 + 'Oct 25'!AN6 + 'Nov 25'!AN6+ 'Dec 25'!AN6 +'Jan 26'!AN6+'Feb 26'!AN6+'March 26'!AN6+'April 26'!AN6+'May 26'!AN6+'June 26'!AN6</f>
        <v>0</v>
      </c>
      <c r="AQ6" s="7">
        <f>'July 25'!AO6 + 'August 25'!AO6 +'Sept 25'!AO6 + 'Oct 25'!AO6 + 'Nov 25'!AO6+ 'Dec 25'!AO6 +'Jan 26'!AO6+'Feb 26'!AO6+'March 26'!AO6+'April 26'!AO6+'May 26'!AO6+'June 26'!AO6</f>
        <v>0</v>
      </c>
      <c r="AR6" s="7">
        <f>'July 25'!AP6 + 'August 25'!AP6 +'Sept 25'!AP6 + 'Oct 25'!AP6 + 'Nov 25'!AP6+ 'Dec 25'!AP6 +'Jan 26'!AP6+'Feb 26'!AP6+'March 26'!AP6+'April 26'!AP6+'May 26'!AP6+'June 26'!AP6</f>
        <v>0</v>
      </c>
      <c r="AS6" s="7">
        <f>'July 25'!AQ6 + 'August 25'!AQ6 +'Sept 25'!AQ6 + 'Oct 25'!AQ6 + 'Nov 25'!AQ6+ 'Dec 25'!AQ6 +'Jan 26'!AQ6+'Feb 26'!AQ6+'March 26'!AQ6+'April 26'!AQ6+'May 26'!AQ6+'June 26'!AQ6</f>
        <v>0</v>
      </c>
      <c r="AT6" s="7">
        <f>'July 25'!AR6 + 'August 25'!AR6 +'Sept 25'!AR6 + 'Oct 25'!AR6 + 'Nov 25'!AR6+ 'Dec 25'!AR6 +'Jan 26'!AR6+'Feb 26'!AR6+'March 26'!AR6+'April 26'!AR6+'May 26'!AR6+'June 26'!AR6</f>
        <v>0</v>
      </c>
      <c r="AU6" s="7">
        <f>'July 25'!AS6 + 'August 25'!AS6 +'Sept 25'!AS6 + 'Oct 25'!AS6 + 'Nov 25'!AS6+ 'Dec 25'!AS6 +'Jan 26'!AS6+'Feb 26'!AS6+'March 26'!AS6+'April 26'!AS6+'May 26'!AS6+'June 26'!AS6</f>
        <v>0</v>
      </c>
      <c r="AV6" s="7">
        <f>'July 25'!AT6 + 'August 25'!AT6 +'Sept 25'!AT6 + 'Oct 25'!AT6 + 'Nov 25'!AT6+ 'Dec 25'!AT6 +'Jan 26'!AT6+'Feb 26'!AT6+'March 26'!AT6+'April 26'!AT6+'May 26'!AT6+'June 26'!AT6</f>
        <v>0</v>
      </c>
      <c r="AW6" s="7">
        <f>'July 25'!AU6 + 'August 25'!AU6 +'Sept 25'!AU6 + 'Oct 25'!AU6 + 'Nov 25'!AU6+ 'Dec 25'!AU6 +'Jan 26'!AU6+'Feb 26'!AU6+'March 26'!AU6+'April 26'!AU6+'May 26'!AU6+'June 26'!AU6</f>
        <v>0</v>
      </c>
      <c r="AX6" s="7">
        <f>'July 25'!AV6 + 'August 25'!AV6 +'Sept 25'!AV6 + 'Oct 25'!AV6 + 'Nov 25'!AV6+ 'Dec 25'!AV6 +'Jan 26'!AV6+'Feb 26'!AV6+'March 26'!AV6+'April 26'!AV6+'May 26'!AV6+'June 26'!AV6</f>
        <v>0</v>
      </c>
      <c r="AY6" s="7">
        <f>'July 25'!AW6 + 'August 25'!AW6 +'Sept 25'!AW6 + 'Oct 25'!AW6 + 'Nov 25'!AW6+ 'Dec 25'!AW6 +'Jan 26'!AW6+'Feb 26'!AW6+'March 26'!AW6+'April 26'!AW6+'May 26'!AW6+'June 26'!AW6</f>
        <v>0</v>
      </c>
      <c r="AZ6" s="7">
        <f>'July 25'!AX6 + 'August 25'!AX6 +'Sept 25'!AX6 + 'Oct 25'!AX6 + 'Nov 25'!AX6+ 'Dec 25'!AX6 +'Jan 26'!AX6+'Feb 26'!AX6+'March 26'!AX6+'April 26'!AX6+'May 26'!AX6+'June 26'!AX6</f>
        <v>0</v>
      </c>
      <c r="BA6" s="7">
        <f>'July 25'!AY6 + 'August 25'!AY6 +'Sept 25'!AY6 + 'Oct 25'!AY6 + 'Nov 25'!AY6+ 'Dec 25'!AY6 +'Jan 26'!AY6+'Feb 26'!AY6+'March 26'!AY6+'April 26'!AY6+'May 26'!AY6+'June 26'!AY6</f>
        <v>0</v>
      </c>
      <c r="BB6" s="7">
        <f>'July 25'!AZ6 + 'August 25'!AZ6 +'Sept 25'!AZ6 + 'Oct 25'!AZ6 + 'Nov 25'!AZ6+ 'Dec 25'!AZ6 +'Jan 26'!AZ6+'Feb 26'!AZ6+'March 26'!AZ6+'April 26'!AZ6+'May 26'!AZ6+'June 26'!AZ6</f>
        <v>0</v>
      </c>
      <c r="BC6" s="7">
        <f>'July 25'!BA6 + 'August 25'!BA6 +'Sept 25'!BA6 + 'Oct 25'!BA6 + 'Nov 25'!BA6+ 'Dec 25'!BA6 +'Jan 26'!BA6+'Feb 26'!BA6+'March 26'!BA6+'April 26'!BA6+'May 26'!BA6+'June 26'!BA6</f>
        <v>0</v>
      </c>
      <c r="BD6" s="7">
        <f>'July 25'!BB6 + 'August 25'!BB6 +'Sept 25'!BB6 + 'Oct 25'!BB6 + 'Nov 25'!BB6+ 'Dec 25'!BB6 +'Jan 26'!BB6+'Feb 26'!BB6+'March 26'!BB6+'April 26'!BB6+'May 26'!BB6+'June 26'!BB6</f>
        <v>0</v>
      </c>
      <c r="BE6" s="7">
        <f>'July 25'!BC6 + 'August 25'!BC6 +'Sept 25'!BC6 + 'Oct 25'!BC6 + 'Nov 25'!BC6+ 'Dec 25'!BC6 +'Jan 26'!BC6+'Feb 26'!BC6+'March 26'!BC6+'April 26'!BC6+'May 26'!BC6+'June 26'!BC6</f>
        <v>0</v>
      </c>
      <c r="BF6" s="7">
        <f>'July 25'!BD6 + 'August 25'!BD6 +'Sept 25'!BD6 + 'Oct 25'!BD6 + 'Nov 25'!BD6+ 'Dec 25'!BD6 +'Jan 26'!BD6+'Feb 26'!BD6+'March 26'!BD6+'April 26'!BD6+'May 26'!BD6+'June 26'!BD6</f>
        <v>0</v>
      </c>
      <c r="BG6" s="7">
        <f>'July 25'!BE6 + 'August 25'!BE6 +'Sept 25'!BE6 + 'Oct 25'!BE6 + 'Nov 25'!BE6+ 'Dec 25'!BE6 +'Jan 26'!BE6+'Feb 26'!BE6+'March 26'!BE6+'April 26'!BE6+'May 26'!BE6+'June 26'!BE6</f>
        <v>0</v>
      </c>
      <c r="BH6" s="7">
        <f>'July 25'!BF6 + 'August 25'!BF6 +'Sept 25'!BF6 + 'Oct 25'!BF6 + 'Nov 25'!BF6+ 'Dec 25'!BF6 +'Jan 26'!BF6+'Feb 26'!BF6+'March 26'!BF6+'April 26'!BF6+'May 26'!BF6+'June 26'!BF6</f>
        <v>0</v>
      </c>
      <c r="BI6" s="7">
        <f>'July 25'!BG6 + 'August 25'!BG6 +'Sept 25'!BG6 + 'Oct 25'!BG6 + 'Nov 25'!BG6+ 'Dec 25'!BG6 +'Jan 26'!BG6+'Feb 26'!BG6+'March 26'!BG6+'April 26'!BG6+'May 26'!BG6+'June 26'!BG6</f>
        <v>0</v>
      </c>
      <c r="BJ6" s="7">
        <f>'July 25'!BH6 + 'August 25'!BH6 +'Sept 25'!BH6 + 'Oct 25'!BH6 + 'Nov 25'!BH6+ 'Dec 25'!BH6 +'Jan 26'!BH6+'Feb 26'!BH6+'March 26'!BH6+'April 26'!BH6+'May 26'!BH6+'June 26'!BH6</f>
        <v>0</v>
      </c>
      <c r="BK6" s="7">
        <f>'July 25'!BI6 + 'August 25'!BI6 +'Sept 25'!BI6 + 'Oct 25'!BI6 + 'Nov 25'!BI6+ 'Dec 25'!BI6 +'Jan 26'!BI6+'Feb 26'!BI6+'March 26'!BI6+'April 26'!BI6+'May 26'!BI6+'June 26'!BI6</f>
        <v>0</v>
      </c>
      <c r="BL6" s="7">
        <f>'July 25'!BJ6 + 'August 25'!BJ6 +'Sept 25'!BJ6 + 'Oct 25'!BJ6 + 'Nov 25'!BJ6+ 'Dec 25'!BJ6 +'Jan 26'!BJ6+'Feb 26'!BJ6+'March 26'!BJ6+'April 26'!BJ6+'May 26'!BJ6+'June 26'!BJ6</f>
        <v>0</v>
      </c>
      <c r="BM6" s="7">
        <f>'July 25'!BK6 + 'August 25'!BK6 +'Sept 25'!BK6 + 'Oct 25'!BK6 + 'Nov 25'!BK6+ 'Dec 25'!BK6 +'Jan 26'!BK6+'Feb 26'!BK6+'March 26'!BK6+'April 26'!BK6+'May 26'!BK6+'June 26'!BK6</f>
        <v>0</v>
      </c>
      <c r="BN6" s="7">
        <f>'July 25'!BL6 + 'August 25'!BL6 +'Sept 25'!BL6 + 'Oct 25'!BL6 + 'Nov 25'!BL6+ 'Dec 25'!BL6 +'Jan 26'!BL6+'Feb 26'!BL6+'March 26'!BL6+'April 26'!BL6+'May 26'!BL6+'June 26'!BL6</f>
        <v>0</v>
      </c>
      <c r="BO6" s="7">
        <f>'July 25'!BM6 + 'August 25'!BM6 +'Sept 25'!BM6 + 'Oct 25'!BM6 + 'Nov 25'!BM6+ 'Dec 25'!BM6 +'Jan 26'!BM6+'Feb 26'!BM6+'March 26'!BM6+'April 26'!BM6+'May 26'!BM6+'June 26'!BM6</f>
        <v>0</v>
      </c>
      <c r="BP6" s="7">
        <f>'July 25'!BN6 + 'August 25'!BN6 +'Sept 25'!BN6 + 'Oct 25'!BN6 + 'Nov 25'!BN6+ 'Dec 25'!BN6 +'Jan 26'!BN6+'Feb 26'!BN6+'March 26'!BN6+'April 26'!BN6+'May 26'!BN6+'June 26'!BN6</f>
        <v>0</v>
      </c>
      <c r="BQ6" s="7">
        <f>'July 25'!BO6 + 'August 25'!BO6 +'Sept 25'!BO6 + 'Oct 25'!BO6 + 'Nov 25'!BO6+ 'Dec 25'!BO6 +'Jan 26'!BO6+'Feb 26'!BO6+'March 26'!BO6+'April 26'!BO6+'May 26'!BO6+'June 26'!BO6</f>
        <v>0</v>
      </c>
      <c r="BR6" s="7">
        <f>'July 25'!BP6 + 'August 25'!BP6 +'Sept 25'!BP6 + 'Oct 25'!BP6 + 'Nov 25'!BP6+ 'Dec 25'!BP6 +'Jan 26'!BP6+'Feb 26'!BP6+'March 26'!BP6+'April 26'!BP6+'May 26'!BP6+'June 26'!BP6</f>
        <v>0</v>
      </c>
      <c r="BS6" s="7">
        <f>'July 25'!BQ6 + 'August 25'!BQ6 +'Sept 25'!BQ6 + 'Oct 25'!BQ6 + 'Nov 25'!BQ6+ 'Dec 25'!BQ6 +'Jan 26'!BQ6+'Feb 26'!BQ6+'March 26'!BQ6+'April 26'!BQ6+'May 26'!BQ6+'June 26'!BQ6</f>
        <v>16</v>
      </c>
      <c r="BT6" s="7">
        <f>'July 25'!BR6 + 'August 25'!BR6 +'Sept 25'!BR6 + 'Oct 25'!BR6 + 'Nov 25'!BR6+ 'Dec 25'!BR6 +'Jan 26'!BR6+'Feb 26'!BR6+'March 26'!BR6+'April 26'!BR6+'May 26'!BR6+'June 26'!BR6</f>
        <v>0</v>
      </c>
      <c r="BU6" s="7">
        <f>'July 25'!BS6 + 'August 25'!BS6 +'Sept 25'!BS6 + 'Oct 25'!BS6 + 'Nov 25'!BS6+ 'Dec 25'!BS6 +'Jan 26'!BS6+'Feb 26'!BS6+'March 26'!BS6+'April 26'!BS6+'May 26'!BS6+'June 26'!BS6</f>
        <v>0</v>
      </c>
      <c r="BV6" s="7">
        <f>'July 25'!BT6 + 'August 25'!BT6 +'Sept 25'!BT6 + 'Oct 25'!BT6 + 'Nov 25'!BT6+ 'Dec 25'!BT6 +'Jan 26'!BT6+'Feb 26'!BT6+'March 26'!BT6+'April 26'!BT6+'May 26'!BT6+'June 26'!BT6</f>
        <v>0</v>
      </c>
      <c r="BW6" s="7">
        <f>'July 25'!BU6 + 'August 25'!BU6 +'Sept 25'!BU6 + 'Oct 25'!BU6 + 'Nov 25'!BU6+ 'Dec 25'!BU6 +'Jan 26'!BU6+'Feb 26'!BU6+'March 26'!BU6+'April 26'!BU6+'May 26'!BU6+'June 26'!BU6</f>
        <v>0</v>
      </c>
      <c r="BX6" s="7">
        <f>'July 25'!BV6 + 'August 25'!BV6 +'Sept 25'!BV6 + 'Oct 25'!BV6 + 'Nov 25'!BV6+ 'Dec 25'!BV6 +'Jan 26'!BV6+'Feb 26'!BV6+'March 26'!BV6+'April 26'!BV6+'May 26'!BV6+'June 26'!BV6</f>
        <v>0</v>
      </c>
      <c r="BY6" s="7">
        <f>'July 25'!BW6 + 'August 25'!BW6 +'Sept 25'!BW6 + 'Oct 25'!BW6 + 'Nov 25'!BW6+ 'Dec 25'!BW6 +'Jan 26'!BW6+'Feb 26'!BW6+'March 26'!BW6+'April 26'!BW6+'May 26'!BW6+'June 26'!BW6</f>
        <v>745</v>
      </c>
      <c r="BZ6" s="7">
        <f>'July 25'!BX6 + 'August 25'!BX6 +'Sept 25'!BX6 + 'Oct 25'!BX6 + 'Nov 25'!BX6+ 'Dec 25'!BX6 +'Jan 26'!BX6+'Feb 26'!BX6+'March 26'!BX6+'April 26'!BX6+'May 26'!BX6+'June 26'!BX6</f>
        <v>0</v>
      </c>
      <c r="CA6" s="7">
        <f>'July 25'!BY6 + 'August 25'!BY6 +'Sept 25'!BY6 + 'Oct 25'!BY6 + 'Nov 25'!BY6+ 'Dec 25'!BY6 +'Jan 26'!BY6+'Feb 26'!BY6+'March 26'!BY6+'April 26'!BY6+'May 26'!BY6+'June 26'!BY6</f>
        <v>0</v>
      </c>
      <c r="CB6" s="7">
        <f>'July 25'!BZ6 + 'August 25'!BZ6 +'Sept 25'!BZ6 + 'Oct 25'!BZ6 + 'Nov 25'!BZ6+ 'Dec 25'!BZ6 +'Jan 26'!BZ6+'Feb 26'!BZ6+'March 26'!BZ6+'April 26'!BZ6+'May 26'!BZ6+'June 26'!BZ6</f>
        <v>305</v>
      </c>
      <c r="CC6" s="7">
        <f>'July 25'!CA6 + 'August 25'!CA6 +'Sept 25'!CA6 + 'Oct 25'!CA6 + 'Nov 25'!CA6+ 'Dec 25'!CA6 +'Jan 26'!CA6+'Feb 26'!CA6+'March 26'!CA6+'April 26'!CA6+'May 26'!CA6+'June 26'!CA6</f>
        <v>0</v>
      </c>
      <c r="CD6" s="7">
        <f>'July 25'!CB6 + 'August 25'!CB6 +'Sept 25'!CB6 + 'Oct 25'!CB6 + 'Nov 25'!CB6+ 'Dec 25'!CB6 +'Jan 26'!CB6+'Feb 26'!CB6+'March 26'!CB6+'April 26'!CB6+'May 26'!CB6+'June 26'!CB6</f>
        <v>0</v>
      </c>
      <c r="CE6" s="7">
        <f>'July 25'!CC6 + 'August 25'!CC6 +'Sept 25'!CC6 + 'Oct 25'!CC6 + 'Nov 25'!CC6+ 'Dec 25'!CC6 +'Jan 26'!CC6+'Feb 26'!CC6+'March 26'!CC6+'April 26'!CC6+'May 26'!CC6+'June 26'!CC6</f>
        <v>0</v>
      </c>
      <c r="CF6" s="8" cm="1">
        <f t="array" ref="CF6">SUMPRODUCT(--(UPPER($F$2:$CE$2)="NET NEW"),$F6:$CE6)</f>
        <v>0</v>
      </c>
      <c r="CG6" s="3">
        <f>SUMIF($F$2:$CE$2,"Enhance Existing",$F6:$CE6)</f>
        <v>55</v>
      </c>
      <c r="CH6" s="3">
        <f>SUMIF($F$2:$CE$2,"Maintenance",$F6:$CE6)</f>
        <v>1399</v>
      </c>
    </row>
    <row r="7" spans="1:86" ht="15.95">
      <c r="A7" s="7" t="s">
        <v>38</v>
      </c>
      <c r="B7" s="7" t="s">
        <v>43</v>
      </c>
      <c r="C7" s="7" t="s">
        <v>46</v>
      </c>
      <c r="D7" s="12"/>
      <c r="E7" s="7"/>
      <c r="F7" s="7">
        <f>'July 25'!D7 + 'August 25'!D7 +'Sept 25'!D7 + 'Oct 25'!D7 + 'Nov 25'!D7+ 'Dec 25'!D7 +'Jan 26'!D7+'Feb 26'!D7+'March 26'!D7+'April 26'!D7+'May 26'!D7+'June 26'!D7</f>
        <v>0</v>
      </c>
      <c r="G7" s="7">
        <f>'July 25'!E7 + 'August 25'!E7 +'Sept 25'!E7 + 'Oct 25'!E7 + 'Nov 25'!E7+ 'Dec 25'!E7 +'Jan 26'!E7+'Feb 26'!E7+'March 26'!E7+'April 26'!E7+'May 26'!E7+'June 26'!E7</f>
        <v>0</v>
      </c>
      <c r="H7" s="7">
        <f>'July 25'!F7 + 'August 25'!F7 +'Sept 25'!F7 + 'Oct 25'!F7 + 'Nov 25'!F7+ 'Dec 25'!F7 +'Jan 26'!F7+'Feb 26'!F7+'March 26'!F7+'April 26'!F7+'May 26'!F7+'June 26'!F7</f>
        <v>18</v>
      </c>
      <c r="I7" s="7">
        <f>'July 25'!G7 + 'August 25'!G7 +'Sept 25'!G7 + 'Oct 25'!G7 + 'Nov 25'!G7+ 'Dec 25'!G7 +'Jan 26'!G7+'Feb 26'!G7+'March 26'!G7+'April 26'!G7+'May 26'!G7+'June 26'!G7</f>
        <v>0</v>
      </c>
      <c r="J7" s="7">
        <f>'July 25'!H7 + 'August 25'!H7 +'Sept 25'!H7 + 'Oct 25'!H7 + 'Nov 25'!H7+ 'Dec 25'!H7 +'Jan 26'!H7+'Feb 26'!H7+'March 26'!H7+'April 26'!H7+'May 26'!H7+'June 26'!H7</f>
        <v>0</v>
      </c>
      <c r="K7" s="7">
        <f>'July 25'!I7 + 'August 25'!I7 +'Sept 25'!I7 + 'Oct 25'!I7 + 'Nov 25'!I7+ 'Dec 25'!I7 +'Jan 26'!I7+'Feb 26'!I7+'March 26'!I7+'April 26'!I7+'May 26'!I7+'June 26'!I7</f>
        <v>113</v>
      </c>
      <c r="L7" s="7">
        <f>'July 25'!J7 + 'August 25'!J7 +'Sept 25'!J7 + 'Oct 25'!J7 + 'Nov 25'!J7+ 'Dec 25'!J7 +'Jan 26'!J7+'Feb 26'!J7+'March 26'!J7+'April 26'!J7+'May 26'!J7+'June 26'!J7</f>
        <v>0</v>
      </c>
      <c r="M7" s="7">
        <f>'July 25'!K7 + 'August 25'!K7 +'Sept 25'!K7 + 'Oct 25'!K7 + 'Nov 25'!K7+ 'Dec 25'!K7 +'Jan 26'!K7+'Feb 26'!K7+'March 26'!K7+'April 26'!K7+'May 26'!K7+'June 26'!K7</f>
        <v>0</v>
      </c>
      <c r="N7" s="7">
        <f>'July 25'!L7 + 'August 25'!L7 +'Sept 25'!L7 + 'Oct 25'!L7 + 'Nov 25'!L7+ 'Dec 25'!L7 +'Jan 26'!L7+'Feb 26'!L7+'March 26'!L7+'April 26'!L7+'May 26'!L7+'June 26'!L7</f>
        <v>0</v>
      </c>
      <c r="O7" s="7">
        <f>'July 25'!M7 + 'August 25'!M7 +'Sept 25'!M7 + 'Oct 25'!M7 + 'Nov 25'!M7+ 'Dec 25'!M7 +'Jan 26'!M7+'Feb 26'!M7+'March 26'!M7+'April 26'!M7+'May 26'!M7+'June 26'!M7</f>
        <v>0</v>
      </c>
      <c r="P7" s="7">
        <f>'July 25'!N7 + 'August 25'!N7 +'Sept 25'!N7 + 'Oct 25'!N7 + 'Nov 25'!N7+ 'Dec 25'!N7 +'Jan 26'!N7+'Feb 26'!N7+'March 26'!N7+'April 26'!N7+'May 26'!N7+'June 26'!N7</f>
        <v>0</v>
      </c>
      <c r="Q7" s="7">
        <f>'July 25'!O7 + 'August 25'!O7 +'Sept 25'!O7 + 'Oct 25'!O7 + 'Nov 25'!O7+ 'Dec 25'!O7 +'Jan 26'!O7+'Feb 26'!O7+'March 26'!O7+'April 26'!O7+'May 26'!O7+'June 26'!O7</f>
        <v>0</v>
      </c>
      <c r="R7" s="7">
        <f>'July 25'!P7 + 'August 25'!P7 +'Sept 25'!P7 + 'Oct 25'!P7 + 'Nov 25'!P7+ 'Dec 25'!P7 +'Jan 26'!P7+'Feb 26'!P7+'March 26'!P7+'April 26'!P7+'May 26'!P7+'June 26'!P7</f>
        <v>0</v>
      </c>
      <c r="S7" s="7">
        <f>'July 25'!Q7 + 'August 25'!Q7 +'Sept 25'!Q7 + 'Oct 25'!Q7 + 'Nov 25'!Q7+ 'Dec 25'!Q7 +'Jan 26'!Q7+'Feb 26'!Q7+'March 26'!Q7+'April 26'!Q7+'May 26'!Q7+'June 26'!Q7</f>
        <v>0</v>
      </c>
      <c r="T7" s="7">
        <f>'July 25'!R7 + 'August 25'!R7 +'Sept 25'!R7 + 'Oct 25'!R7 + 'Nov 25'!R7+ 'Dec 25'!R7 +'Jan 26'!R7+'Feb 26'!R7+'March 26'!R7+'April 26'!R7+'May 26'!R7+'June 26'!R7</f>
        <v>161</v>
      </c>
      <c r="U7" s="7">
        <f>'July 25'!S7 + 'August 25'!S7 +'Sept 25'!S7 + 'Oct 25'!S7 + 'Nov 25'!S7+ 'Dec 25'!S7 +'Jan 26'!S7+'Feb 26'!S7+'March 26'!S7+'April 26'!S7+'May 26'!S7+'June 26'!S7</f>
        <v>0</v>
      </c>
      <c r="V7" s="7">
        <f>'July 25'!T7 + 'August 25'!T7 +'Sept 25'!T7 + 'Oct 25'!T7 + 'Nov 25'!T7+ 'Dec 25'!T7 +'Jan 26'!T7+'Feb 26'!T7+'March 26'!T7+'April 26'!T7+'May 26'!T7+'June 26'!T7</f>
        <v>0</v>
      </c>
      <c r="W7" s="7">
        <f>'July 25'!U7 + 'August 25'!U7 +'Sept 25'!U7 + 'Oct 25'!U7 + 'Nov 25'!U7+ 'Dec 25'!U7 +'Jan 26'!U7+'Feb 26'!U7+'March 26'!U7+'April 26'!U7+'May 26'!U7+'June 26'!U7</f>
        <v>0</v>
      </c>
      <c r="X7" s="7">
        <f>'July 25'!V7 + 'August 25'!V7 +'Sept 25'!V7 + 'Oct 25'!V7 + 'Nov 25'!V7+ 'Dec 25'!V7 +'Jan 26'!V7+'Feb 26'!V7+'March 26'!V7+'April 26'!V7+'May 26'!V7+'June 26'!V7</f>
        <v>0</v>
      </c>
      <c r="Y7" s="7">
        <f>'July 25'!W7 + 'August 25'!W7 +'Sept 25'!W7 + 'Oct 25'!W7 + 'Nov 25'!W7+ 'Dec 25'!W7 +'Jan 26'!W7+'Feb 26'!W7+'March 26'!W7+'April 26'!W7+'May 26'!W7+'June 26'!W7</f>
        <v>0</v>
      </c>
      <c r="Z7" s="7">
        <f>'July 25'!X7 + 'August 25'!X7 +'Sept 25'!X7 + 'Oct 25'!X7 + 'Nov 25'!X7+ 'Dec 25'!X7 +'Jan 26'!X7+'Feb 26'!X7+'March 26'!X7+'April 26'!X7+'May 26'!X7+'June 26'!X7</f>
        <v>0</v>
      </c>
      <c r="AA7" s="7">
        <f>'July 25'!Y7 + 'August 25'!Y7 +'Sept 25'!Y7 + 'Oct 25'!Y7 + 'Nov 25'!Y7+ 'Dec 25'!Y7 +'Jan 26'!Y7+'Feb 26'!Y7+'March 26'!Y7+'April 26'!Y7+'May 26'!Y7+'June 26'!Y7</f>
        <v>0</v>
      </c>
      <c r="AB7" s="7">
        <f>'July 25'!Z7 + 'August 25'!Z7 +'Sept 25'!Z7 + 'Oct 25'!Z7 + 'Nov 25'!Z7+ 'Dec 25'!Z7 +'Jan 26'!Z7+'Feb 26'!Z7+'March 26'!Z7+'April 26'!Z7+'May 26'!Z7+'June 26'!Z7</f>
        <v>0</v>
      </c>
      <c r="AC7" s="7">
        <f>'July 25'!AA7 + 'August 25'!AA7 +'Sept 25'!AA7 + 'Oct 25'!AA7 + 'Nov 25'!AA7+ 'Dec 25'!AA7 +'Jan 26'!AA7+'Feb 26'!AA7+'March 26'!AA7+'April 26'!AA7+'May 26'!AA7+'June 26'!AA7</f>
        <v>0</v>
      </c>
      <c r="AD7" s="7">
        <f>'July 25'!AB7 + 'August 25'!AB7 +'Sept 25'!AB7 + 'Oct 25'!AB7 + 'Nov 25'!AB7+ 'Dec 25'!AB7 +'Jan 26'!AB7+'Feb 26'!AB7+'March 26'!AB7+'April 26'!AB7+'May 26'!AB7+'June 26'!AB7</f>
        <v>0</v>
      </c>
      <c r="AE7" s="7">
        <f>'July 25'!AC7 + 'August 25'!AC7 +'Sept 25'!AC7 + 'Oct 25'!AC7 + 'Nov 25'!AC7+ 'Dec 25'!AC7 +'Jan 26'!AC7+'Feb 26'!AC7+'March 26'!AC7+'April 26'!AC7+'May 26'!AC7+'June 26'!AC7</f>
        <v>0</v>
      </c>
      <c r="AF7" s="7">
        <f>'July 25'!AD7 + 'August 25'!AD7 +'Sept 25'!AD7 + 'Oct 25'!AD7 + 'Nov 25'!AD7+ 'Dec 25'!AD7 +'Jan 26'!AD7+'Feb 26'!AD7+'March 26'!AD7+'April 26'!AD7+'May 26'!AD7+'June 26'!AD7</f>
        <v>0</v>
      </c>
      <c r="AG7" s="7">
        <f>'July 25'!AE7 + 'August 25'!AE7 +'Sept 25'!AE7 + 'Oct 25'!AE7 + 'Nov 25'!AE7+ 'Dec 25'!AE7 +'Jan 26'!AE7+'Feb 26'!AE7+'March 26'!AE7+'April 26'!AE7+'May 26'!AE7+'June 26'!AE7</f>
        <v>0</v>
      </c>
      <c r="AH7" s="7">
        <f>'July 25'!AF7 + 'August 25'!AF7 +'Sept 25'!AF7 + 'Oct 25'!AF7 + 'Nov 25'!AF7+ 'Dec 25'!AF7 +'Jan 26'!AF7+'Feb 26'!AF7+'March 26'!AF7+'April 26'!AF7+'May 26'!AF7+'June 26'!AF7</f>
        <v>0</v>
      </c>
      <c r="AI7" s="7">
        <f>'July 25'!AG7 + 'August 25'!AG7 +'Sept 25'!AG7 + 'Oct 25'!AG7 + 'Nov 25'!AG7+ 'Dec 25'!AG7 +'Jan 26'!AG7+'Feb 26'!AG7+'March 26'!AG7+'April 26'!AG7+'May 26'!AG7+'June 26'!AG7</f>
        <v>39</v>
      </c>
      <c r="AJ7" s="7">
        <f>'July 25'!AH7 + 'August 25'!AH7 +'Sept 25'!AH7 + 'Oct 25'!AH7 + 'Nov 25'!AH7+ 'Dec 25'!AH7 +'Jan 26'!AH7+'Feb 26'!AH7+'March 26'!AH7+'April 26'!AH7+'May 26'!AH7+'June 26'!AH7</f>
        <v>0</v>
      </c>
      <c r="AK7" s="7">
        <f>'July 25'!AI7 + 'August 25'!AI7 +'Sept 25'!AI7 + 'Oct 25'!AI7 + 'Nov 25'!AI7+ 'Dec 25'!AI7 +'Jan 26'!AI7+'Feb 26'!AI7+'March 26'!AI7+'April 26'!AI7+'May 26'!AI7+'June 26'!AI7</f>
        <v>0</v>
      </c>
      <c r="AL7" s="7">
        <f>'July 25'!AJ7 + 'August 25'!AJ7 +'Sept 25'!AJ7 + 'Oct 25'!AJ7 + 'Nov 25'!AJ7+ 'Dec 25'!AJ7 +'Jan 26'!AJ7+'Feb 26'!AJ7+'March 26'!AJ7+'April 26'!AJ7+'May 26'!AJ7+'June 26'!AJ7</f>
        <v>0</v>
      </c>
      <c r="AM7" s="7">
        <f>'July 25'!AK7 + 'August 25'!AK7 +'Sept 25'!AK7 + 'Oct 25'!AK7 + 'Nov 25'!AK7+ 'Dec 25'!AK7 +'Jan 26'!AK7+'Feb 26'!AK7+'March 26'!AK7+'April 26'!AK7+'May 26'!AK7+'June 26'!AK7</f>
        <v>0</v>
      </c>
      <c r="AN7" s="7">
        <f>'July 25'!AL7 + 'August 25'!AL7 +'Sept 25'!AL7 + 'Oct 25'!AL7 + 'Nov 25'!AL7+ 'Dec 25'!AL7 +'Jan 26'!AL7+'Feb 26'!AL7+'March 26'!AL7+'April 26'!AL7+'May 26'!AL7+'June 26'!AL7</f>
        <v>0</v>
      </c>
      <c r="AO7" s="7">
        <f>'July 25'!AM7 + 'August 25'!AM7 +'Sept 25'!AM7 + 'Oct 25'!AM7 + 'Nov 25'!AM7+ 'Dec 25'!AM7 +'Jan 26'!AM7+'Feb 26'!AM7+'March 26'!AM7+'April 26'!AM7+'May 26'!AM7+'June 26'!AM7</f>
        <v>0</v>
      </c>
      <c r="AP7" s="7">
        <f>'July 25'!AN7 + 'August 25'!AN7 +'Sept 25'!AN7 + 'Oct 25'!AN7 + 'Nov 25'!AN7+ 'Dec 25'!AN7 +'Jan 26'!AN7+'Feb 26'!AN7+'March 26'!AN7+'April 26'!AN7+'May 26'!AN7+'June 26'!AN7</f>
        <v>0</v>
      </c>
      <c r="AQ7" s="7">
        <f>'July 25'!AO7 + 'August 25'!AO7 +'Sept 25'!AO7 + 'Oct 25'!AO7 + 'Nov 25'!AO7+ 'Dec 25'!AO7 +'Jan 26'!AO7+'Feb 26'!AO7+'March 26'!AO7+'April 26'!AO7+'May 26'!AO7+'June 26'!AO7</f>
        <v>0</v>
      </c>
      <c r="AR7" s="7">
        <f>'July 25'!AP7 + 'August 25'!AP7 +'Sept 25'!AP7 + 'Oct 25'!AP7 + 'Nov 25'!AP7+ 'Dec 25'!AP7 +'Jan 26'!AP7+'Feb 26'!AP7+'March 26'!AP7+'April 26'!AP7+'May 26'!AP7+'June 26'!AP7</f>
        <v>0</v>
      </c>
      <c r="AS7" s="7">
        <f>'July 25'!AQ7 + 'August 25'!AQ7 +'Sept 25'!AQ7 + 'Oct 25'!AQ7 + 'Nov 25'!AQ7+ 'Dec 25'!AQ7 +'Jan 26'!AQ7+'Feb 26'!AQ7+'March 26'!AQ7+'April 26'!AQ7+'May 26'!AQ7+'June 26'!AQ7</f>
        <v>0</v>
      </c>
      <c r="AT7" s="7">
        <f>'July 25'!AR7 + 'August 25'!AR7 +'Sept 25'!AR7 + 'Oct 25'!AR7 + 'Nov 25'!AR7+ 'Dec 25'!AR7 +'Jan 26'!AR7+'Feb 26'!AR7+'March 26'!AR7+'April 26'!AR7+'May 26'!AR7+'June 26'!AR7</f>
        <v>0</v>
      </c>
      <c r="AU7" s="7">
        <f>'July 25'!AS7 + 'August 25'!AS7 +'Sept 25'!AS7 + 'Oct 25'!AS7 + 'Nov 25'!AS7+ 'Dec 25'!AS7 +'Jan 26'!AS7+'Feb 26'!AS7+'March 26'!AS7+'April 26'!AS7+'May 26'!AS7+'June 26'!AS7</f>
        <v>0</v>
      </c>
      <c r="AV7" s="7">
        <f>'July 25'!AT7 + 'August 25'!AT7 +'Sept 25'!AT7 + 'Oct 25'!AT7 + 'Nov 25'!AT7+ 'Dec 25'!AT7 +'Jan 26'!AT7+'Feb 26'!AT7+'March 26'!AT7+'April 26'!AT7+'May 26'!AT7+'June 26'!AT7</f>
        <v>0</v>
      </c>
      <c r="AW7" s="7">
        <f>'July 25'!AU7 + 'August 25'!AU7 +'Sept 25'!AU7 + 'Oct 25'!AU7 + 'Nov 25'!AU7+ 'Dec 25'!AU7 +'Jan 26'!AU7+'Feb 26'!AU7+'March 26'!AU7+'April 26'!AU7+'May 26'!AU7+'June 26'!AU7</f>
        <v>0</v>
      </c>
      <c r="AX7" s="7">
        <f>'July 25'!AV7 + 'August 25'!AV7 +'Sept 25'!AV7 + 'Oct 25'!AV7 + 'Nov 25'!AV7+ 'Dec 25'!AV7 +'Jan 26'!AV7+'Feb 26'!AV7+'March 26'!AV7+'April 26'!AV7+'May 26'!AV7+'June 26'!AV7</f>
        <v>68</v>
      </c>
      <c r="AY7" s="7">
        <f>'July 25'!AW7 + 'August 25'!AW7 +'Sept 25'!AW7 + 'Oct 25'!AW7 + 'Nov 25'!AW7+ 'Dec 25'!AW7 +'Jan 26'!AW7+'Feb 26'!AW7+'March 26'!AW7+'April 26'!AW7+'May 26'!AW7+'June 26'!AW7</f>
        <v>0</v>
      </c>
      <c r="AZ7" s="7">
        <f>'July 25'!AX7 + 'August 25'!AX7 +'Sept 25'!AX7 + 'Oct 25'!AX7 + 'Nov 25'!AX7+ 'Dec 25'!AX7 +'Jan 26'!AX7+'Feb 26'!AX7+'March 26'!AX7+'April 26'!AX7+'May 26'!AX7+'June 26'!AX7</f>
        <v>0</v>
      </c>
      <c r="BA7" s="7">
        <f>'July 25'!AY7 + 'August 25'!AY7 +'Sept 25'!AY7 + 'Oct 25'!AY7 + 'Nov 25'!AY7+ 'Dec 25'!AY7 +'Jan 26'!AY7+'Feb 26'!AY7+'March 26'!AY7+'April 26'!AY7+'May 26'!AY7+'June 26'!AY7</f>
        <v>0</v>
      </c>
      <c r="BB7" s="7">
        <f>'July 25'!AZ7 + 'August 25'!AZ7 +'Sept 25'!AZ7 + 'Oct 25'!AZ7 + 'Nov 25'!AZ7+ 'Dec 25'!AZ7 +'Jan 26'!AZ7+'Feb 26'!AZ7+'March 26'!AZ7+'April 26'!AZ7+'May 26'!AZ7+'June 26'!AZ7</f>
        <v>0</v>
      </c>
      <c r="BC7" s="7">
        <f>'July 25'!BA7 + 'August 25'!BA7 +'Sept 25'!BA7 + 'Oct 25'!BA7 + 'Nov 25'!BA7+ 'Dec 25'!BA7 +'Jan 26'!BA7+'Feb 26'!BA7+'March 26'!BA7+'April 26'!BA7+'May 26'!BA7+'June 26'!BA7</f>
        <v>0</v>
      </c>
      <c r="BD7" s="7">
        <f>'July 25'!BB7 + 'August 25'!BB7 +'Sept 25'!BB7 + 'Oct 25'!BB7 + 'Nov 25'!BB7+ 'Dec 25'!BB7 +'Jan 26'!BB7+'Feb 26'!BB7+'March 26'!BB7+'April 26'!BB7+'May 26'!BB7+'June 26'!BB7</f>
        <v>10</v>
      </c>
      <c r="BE7" s="7">
        <f>'July 25'!BC7 + 'August 25'!BC7 +'Sept 25'!BC7 + 'Oct 25'!BC7 + 'Nov 25'!BC7+ 'Dec 25'!BC7 +'Jan 26'!BC7+'Feb 26'!BC7+'March 26'!BC7+'April 26'!BC7+'May 26'!BC7+'June 26'!BC7</f>
        <v>0</v>
      </c>
      <c r="BF7" s="7">
        <f>'July 25'!BD7 + 'August 25'!BD7 +'Sept 25'!BD7 + 'Oct 25'!BD7 + 'Nov 25'!BD7+ 'Dec 25'!BD7 +'Jan 26'!BD7+'Feb 26'!BD7+'March 26'!BD7+'April 26'!BD7+'May 26'!BD7+'June 26'!BD7</f>
        <v>0</v>
      </c>
      <c r="BG7" s="7">
        <f>'July 25'!BE7 + 'August 25'!BE7 +'Sept 25'!BE7 + 'Oct 25'!BE7 + 'Nov 25'!BE7+ 'Dec 25'!BE7 +'Jan 26'!BE7+'Feb 26'!BE7+'March 26'!BE7+'April 26'!BE7+'May 26'!BE7+'June 26'!BE7</f>
        <v>46</v>
      </c>
      <c r="BH7" s="7">
        <f>'July 25'!BF7 + 'August 25'!BF7 +'Sept 25'!BF7 + 'Oct 25'!BF7 + 'Nov 25'!BF7+ 'Dec 25'!BF7 +'Jan 26'!BF7+'Feb 26'!BF7+'March 26'!BF7+'April 26'!BF7+'May 26'!BF7+'June 26'!BF7</f>
        <v>0</v>
      </c>
      <c r="BI7" s="7">
        <f>'July 25'!BG7 + 'August 25'!BG7 +'Sept 25'!BG7 + 'Oct 25'!BG7 + 'Nov 25'!BG7+ 'Dec 25'!BG7 +'Jan 26'!BG7+'Feb 26'!BG7+'March 26'!BG7+'April 26'!BG7+'May 26'!BG7+'June 26'!BG7</f>
        <v>0</v>
      </c>
      <c r="BJ7" s="7">
        <f>'July 25'!BH7 + 'August 25'!BH7 +'Sept 25'!BH7 + 'Oct 25'!BH7 + 'Nov 25'!BH7+ 'Dec 25'!BH7 +'Jan 26'!BH7+'Feb 26'!BH7+'March 26'!BH7+'April 26'!BH7+'May 26'!BH7+'June 26'!BH7</f>
        <v>0</v>
      </c>
      <c r="BK7" s="7">
        <f>'July 25'!BI7 + 'August 25'!BI7 +'Sept 25'!BI7 + 'Oct 25'!BI7 + 'Nov 25'!BI7+ 'Dec 25'!BI7 +'Jan 26'!BI7+'Feb 26'!BI7+'March 26'!BI7+'April 26'!BI7+'May 26'!BI7+'June 26'!BI7</f>
        <v>0</v>
      </c>
      <c r="BL7" s="7">
        <f>'July 25'!BJ7 + 'August 25'!BJ7 +'Sept 25'!BJ7 + 'Oct 25'!BJ7 + 'Nov 25'!BJ7+ 'Dec 25'!BJ7 +'Jan 26'!BJ7+'Feb 26'!BJ7+'March 26'!BJ7+'April 26'!BJ7+'May 26'!BJ7+'June 26'!BJ7</f>
        <v>0</v>
      </c>
      <c r="BM7" s="7">
        <f>'July 25'!BK7 + 'August 25'!BK7 +'Sept 25'!BK7 + 'Oct 25'!BK7 + 'Nov 25'!BK7+ 'Dec 25'!BK7 +'Jan 26'!BK7+'Feb 26'!BK7+'March 26'!BK7+'April 26'!BK7+'May 26'!BK7+'June 26'!BK7</f>
        <v>0</v>
      </c>
      <c r="BN7" s="7">
        <f>'July 25'!BL7 + 'August 25'!BL7 +'Sept 25'!BL7 + 'Oct 25'!BL7 + 'Nov 25'!BL7+ 'Dec 25'!BL7 +'Jan 26'!BL7+'Feb 26'!BL7+'March 26'!BL7+'April 26'!BL7+'May 26'!BL7+'June 26'!BL7</f>
        <v>0</v>
      </c>
      <c r="BO7" s="7">
        <f>'July 25'!BM7 + 'August 25'!BM7 +'Sept 25'!BM7 + 'Oct 25'!BM7 + 'Nov 25'!BM7+ 'Dec 25'!BM7 +'Jan 26'!BM7+'Feb 26'!BM7+'March 26'!BM7+'April 26'!BM7+'May 26'!BM7+'June 26'!BM7</f>
        <v>0</v>
      </c>
      <c r="BP7" s="7">
        <f>'July 25'!BN7 + 'August 25'!BN7 +'Sept 25'!BN7 + 'Oct 25'!BN7 + 'Nov 25'!BN7+ 'Dec 25'!BN7 +'Jan 26'!BN7+'Feb 26'!BN7+'March 26'!BN7+'April 26'!BN7+'May 26'!BN7+'June 26'!BN7</f>
        <v>0</v>
      </c>
      <c r="BQ7" s="7">
        <f>'July 25'!BO7 + 'August 25'!BO7 +'Sept 25'!BO7 + 'Oct 25'!BO7 + 'Nov 25'!BO7+ 'Dec 25'!BO7 +'Jan 26'!BO7+'Feb 26'!BO7+'March 26'!BO7+'April 26'!BO7+'May 26'!BO7+'June 26'!BO7</f>
        <v>0</v>
      </c>
      <c r="BR7" s="7">
        <f>'July 25'!BP7 + 'August 25'!BP7 +'Sept 25'!BP7 + 'Oct 25'!BP7 + 'Nov 25'!BP7+ 'Dec 25'!BP7 +'Jan 26'!BP7+'Feb 26'!BP7+'March 26'!BP7+'April 26'!BP7+'May 26'!BP7+'June 26'!BP7</f>
        <v>0</v>
      </c>
      <c r="BS7" s="7">
        <f>'July 25'!BQ7 + 'August 25'!BQ7 +'Sept 25'!BQ7 + 'Oct 25'!BQ7 + 'Nov 25'!BQ7+ 'Dec 25'!BQ7 +'Jan 26'!BQ7+'Feb 26'!BQ7+'March 26'!BQ7+'April 26'!BQ7+'May 26'!BQ7+'June 26'!BQ7</f>
        <v>0</v>
      </c>
      <c r="BT7" s="7">
        <f>'July 25'!BR7 + 'August 25'!BR7 +'Sept 25'!BR7 + 'Oct 25'!BR7 + 'Nov 25'!BR7+ 'Dec 25'!BR7 +'Jan 26'!BR7+'Feb 26'!BR7+'March 26'!BR7+'April 26'!BR7+'May 26'!BR7+'June 26'!BR7</f>
        <v>0</v>
      </c>
      <c r="BU7" s="7">
        <f>'July 25'!BS7 + 'August 25'!BS7 +'Sept 25'!BS7 + 'Oct 25'!BS7 + 'Nov 25'!BS7+ 'Dec 25'!BS7 +'Jan 26'!BS7+'Feb 26'!BS7+'March 26'!BS7+'April 26'!BS7+'May 26'!BS7+'June 26'!BS7</f>
        <v>0</v>
      </c>
      <c r="BV7" s="7">
        <f>'July 25'!BT7 + 'August 25'!BT7 +'Sept 25'!BT7 + 'Oct 25'!BT7 + 'Nov 25'!BT7+ 'Dec 25'!BT7 +'Jan 26'!BT7+'Feb 26'!BT7+'March 26'!BT7+'April 26'!BT7+'May 26'!BT7+'June 26'!BT7</f>
        <v>0</v>
      </c>
      <c r="BW7" s="7">
        <f>'July 25'!BU7 + 'August 25'!BU7 +'Sept 25'!BU7 + 'Oct 25'!BU7 + 'Nov 25'!BU7+ 'Dec 25'!BU7 +'Jan 26'!BU7+'Feb 26'!BU7+'March 26'!BU7+'April 26'!BU7+'May 26'!BU7+'June 26'!BU7</f>
        <v>0</v>
      </c>
      <c r="BX7" s="7">
        <f>'July 25'!BV7 + 'August 25'!BV7 +'Sept 25'!BV7 + 'Oct 25'!BV7 + 'Nov 25'!BV7+ 'Dec 25'!BV7 +'Jan 26'!BV7+'Feb 26'!BV7+'March 26'!BV7+'April 26'!BV7+'May 26'!BV7+'June 26'!BV7</f>
        <v>0</v>
      </c>
      <c r="BY7" s="7">
        <f>'July 25'!BW7 + 'August 25'!BW7 +'Sept 25'!BW7 + 'Oct 25'!BW7 + 'Nov 25'!BW7+ 'Dec 25'!BW7 +'Jan 26'!BW7+'Feb 26'!BW7+'March 26'!BW7+'April 26'!BW7+'May 26'!BW7+'June 26'!BW7</f>
        <v>594</v>
      </c>
      <c r="BZ7" s="7">
        <f>'July 25'!BX7 + 'August 25'!BX7 +'Sept 25'!BX7 + 'Oct 25'!BX7 + 'Nov 25'!BX7+ 'Dec 25'!BX7 +'Jan 26'!BX7+'Feb 26'!BX7+'March 26'!BX7+'April 26'!BX7+'May 26'!BX7+'June 26'!BX7</f>
        <v>0</v>
      </c>
      <c r="CA7" s="7">
        <f>'July 25'!BY7 + 'August 25'!BY7 +'Sept 25'!BY7 + 'Oct 25'!BY7 + 'Nov 25'!BY7+ 'Dec 25'!BY7 +'Jan 26'!BY7+'Feb 26'!BY7+'March 26'!BY7+'April 26'!BY7+'May 26'!BY7+'June 26'!BY7</f>
        <v>0</v>
      </c>
      <c r="CB7" s="7">
        <f>'July 25'!BZ7 + 'August 25'!BZ7 +'Sept 25'!BZ7 + 'Oct 25'!BZ7 + 'Nov 25'!BZ7+ 'Dec 25'!BZ7 +'Jan 26'!BZ7+'Feb 26'!BZ7+'March 26'!BZ7+'April 26'!BZ7+'May 26'!BZ7+'June 26'!BZ7</f>
        <v>276</v>
      </c>
      <c r="CC7" s="7">
        <f>'July 25'!CA7 + 'August 25'!CA7 +'Sept 25'!CA7 + 'Oct 25'!CA7 + 'Nov 25'!CA7+ 'Dec 25'!CA7 +'Jan 26'!CA7+'Feb 26'!CA7+'March 26'!CA7+'April 26'!CA7+'May 26'!CA7+'June 26'!CA7</f>
        <v>0</v>
      </c>
      <c r="CD7" s="7">
        <f>'July 25'!CB7 + 'August 25'!CB7 +'Sept 25'!CB7 + 'Oct 25'!CB7 + 'Nov 25'!CB7+ 'Dec 25'!CB7 +'Jan 26'!CB7+'Feb 26'!CB7+'March 26'!CB7+'April 26'!CB7+'May 26'!CB7+'June 26'!CB7</f>
        <v>0</v>
      </c>
      <c r="CE7" s="7">
        <f>'July 25'!CC7 + 'August 25'!CC7 +'Sept 25'!CC7 + 'Oct 25'!CC7 + 'Nov 25'!CC7+ 'Dec 25'!CC7 +'Jan 26'!CC7+'Feb 26'!CC7+'March 26'!CC7+'April 26'!CC7+'May 26'!CC7+'June 26'!CC7</f>
        <v>0</v>
      </c>
      <c r="CF7" s="8" cm="1">
        <f t="array" ref="CF7">SUMPRODUCT(--(UPPER($F$2:$CE$2)="NET NEW"),$F7:$CE7)</f>
        <v>0</v>
      </c>
      <c r="CG7" s="3">
        <f>SUMIF($F$2:$CE$2,"Enhance Existing",$F7:$CE7)</f>
        <v>0</v>
      </c>
      <c r="CH7" s="3">
        <f>SUMIF($F$2:$CE$2,"Maintenance",$F7:$CE7)</f>
        <v>1325</v>
      </c>
    </row>
    <row r="8" spans="1:86" ht="15.95">
      <c r="A8" s="7" t="s">
        <v>41</v>
      </c>
      <c r="B8" s="7" t="s">
        <v>43</v>
      </c>
      <c r="C8" s="7" t="s">
        <v>47</v>
      </c>
      <c r="D8" s="12"/>
      <c r="E8" s="7"/>
      <c r="F8" s="7">
        <f>'July 25'!D8 + 'August 25'!D8 +'Sept 25'!D8 + 'Oct 25'!D8 + 'Nov 25'!D8+ 'Dec 25'!D8 +'Jan 26'!D8+'Feb 26'!D8+'March 26'!D8+'April 26'!D8+'May 26'!D8+'June 26'!D8</f>
        <v>0</v>
      </c>
      <c r="G8" s="7">
        <f>'July 25'!E8 + 'August 25'!E8 +'Sept 25'!E8 + 'Oct 25'!E8 + 'Nov 25'!E8+ 'Dec 25'!E8 +'Jan 26'!E8+'Feb 26'!E8+'March 26'!E8+'April 26'!E8+'May 26'!E8+'June 26'!E8</f>
        <v>0</v>
      </c>
      <c r="H8" s="7">
        <f>'July 25'!F8 + 'August 25'!F8 +'Sept 25'!F8 + 'Oct 25'!F8 + 'Nov 25'!F8+ 'Dec 25'!F8 +'Jan 26'!F8+'Feb 26'!F8+'March 26'!F8+'April 26'!F8+'May 26'!F8+'June 26'!F8</f>
        <v>0</v>
      </c>
      <c r="I8" s="7">
        <f>'July 25'!G8 + 'August 25'!G8 +'Sept 25'!G8 + 'Oct 25'!G8 + 'Nov 25'!G8+ 'Dec 25'!G8 +'Jan 26'!G8+'Feb 26'!G8+'March 26'!G8+'April 26'!G8+'May 26'!G8+'June 26'!G8</f>
        <v>0</v>
      </c>
      <c r="J8" s="7">
        <f>'July 25'!H8 + 'August 25'!H8 +'Sept 25'!H8 + 'Oct 25'!H8 + 'Nov 25'!H8+ 'Dec 25'!H8 +'Jan 26'!H8+'Feb 26'!H8+'March 26'!H8+'April 26'!H8+'May 26'!H8+'June 26'!H8</f>
        <v>0</v>
      </c>
      <c r="K8" s="7">
        <f>'July 25'!I8 + 'August 25'!I8 +'Sept 25'!I8 + 'Oct 25'!I8 + 'Nov 25'!I8+ 'Dec 25'!I8 +'Jan 26'!I8+'Feb 26'!I8+'March 26'!I8+'April 26'!I8+'May 26'!I8+'June 26'!I8</f>
        <v>0</v>
      </c>
      <c r="L8" s="7">
        <f>'July 25'!J8 + 'August 25'!J8 +'Sept 25'!J8 + 'Oct 25'!J8 + 'Nov 25'!J8+ 'Dec 25'!J8 +'Jan 26'!J8+'Feb 26'!J8+'March 26'!J8+'April 26'!J8+'May 26'!J8+'June 26'!J8</f>
        <v>0</v>
      </c>
      <c r="M8" s="7">
        <f>'July 25'!K8 + 'August 25'!K8 +'Sept 25'!K8 + 'Oct 25'!K8 + 'Nov 25'!K8+ 'Dec 25'!K8 +'Jan 26'!K8+'Feb 26'!K8+'March 26'!K8+'April 26'!K8+'May 26'!K8+'June 26'!K8</f>
        <v>0</v>
      </c>
      <c r="N8" s="7">
        <f>'July 25'!L8 + 'August 25'!L8 +'Sept 25'!L8 + 'Oct 25'!L8 + 'Nov 25'!L8+ 'Dec 25'!L8 +'Jan 26'!L8+'Feb 26'!L8+'March 26'!L8+'April 26'!L8+'May 26'!L8+'June 26'!L8</f>
        <v>0</v>
      </c>
      <c r="O8" s="7">
        <f>'July 25'!M8 + 'August 25'!M8 +'Sept 25'!M8 + 'Oct 25'!M8 + 'Nov 25'!M8+ 'Dec 25'!M8 +'Jan 26'!M8+'Feb 26'!M8+'March 26'!M8+'April 26'!M8+'May 26'!M8+'June 26'!M8</f>
        <v>0</v>
      </c>
      <c r="P8" s="7">
        <f>'July 25'!N8 + 'August 25'!N8 +'Sept 25'!N8 + 'Oct 25'!N8 + 'Nov 25'!N8+ 'Dec 25'!N8 +'Jan 26'!N8+'Feb 26'!N8+'March 26'!N8+'April 26'!N8+'May 26'!N8+'June 26'!N8</f>
        <v>201</v>
      </c>
      <c r="Q8" s="7">
        <f>'July 25'!O8 + 'August 25'!O8 +'Sept 25'!O8 + 'Oct 25'!O8 + 'Nov 25'!O8+ 'Dec 25'!O8 +'Jan 26'!O8+'Feb 26'!O8+'March 26'!O8+'April 26'!O8+'May 26'!O8+'June 26'!O8</f>
        <v>240</v>
      </c>
      <c r="R8" s="7">
        <f>'July 25'!P8 + 'August 25'!P8 +'Sept 25'!P8 + 'Oct 25'!P8 + 'Nov 25'!P8+ 'Dec 25'!P8 +'Jan 26'!P8+'Feb 26'!P8+'March 26'!P8+'April 26'!P8+'May 26'!P8+'June 26'!P8</f>
        <v>0</v>
      </c>
      <c r="S8" s="7">
        <f>'July 25'!Q8 + 'August 25'!Q8 +'Sept 25'!Q8 + 'Oct 25'!Q8 + 'Nov 25'!Q8+ 'Dec 25'!Q8 +'Jan 26'!Q8+'Feb 26'!Q8+'March 26'!Q8+'April 26'!Q8+'May 26'!Q8+'June 26'!Q8</f>
        <v>0</v>
      </c>
      <c r="T8" s="7">
        <f>'July 25'!R8 + 'August 25'!R8 +'Sept 25'!R8 + 'Oct 25'!R8 + 'Nov 25'!R8+ 'Dec 25'!R8 +'Jan 26'!R8+'Feb 26'!R8+'March 26'!R8+'April 26'!R8+'May 26'!R8+'June 26'!R8</f>
        <v>0</v>
      </c>
      <c r="U8" s="7">
        <f>'July 25'!S8 + 'August 25'!S8 +'Sept 25'!S8 + 'Oct 25'!S8 + 'Nov 25'!S8+ 'Dec 25'!S8 +'Jan 26'!S8+'Feb 26'!S8+'March 26'!S8+'April 26'!S8+'May 26'!S8+'June 26'!S8</f>
        <v>0</v>
      </c>
      <c r="V8" s="7">
        <f>'July 25'!T8 + 'August 25'!T8 +'Sept 25'!T8 + 'Oct 25'!T8 + 'Nov 25'!T8+ 'Dec 25'!T8 +'Jan 26'!T8+'Feb 26'!T8+'March 26'!T8+'April 26'!T8+'May 26'!T8+'June 26'!T8</f>
        <v>0</v>
      </c>
      <c r="W8" s="7">
        <f>'July 25'!U8 + 'August 25'!U8 +'Sept 25'!U8 + 'Oct 25'!U8 + 'Nov 25'!U8+ 'Dec 25'!U8 +'Jan 26'!U8+'Feb 26'!U8+'March 26'!U8+'April 26'!U8+'May 26'!U8+'June 26'!U8</f>
        <v>0</v>
      </c>
      <c r="X8" s="7">
        <f>'July 25'!V8 + 'August 25'!V8 +'Sept 25'!V8 + 'Oct 25'!V8 + 'Nov 25'!V8+ 'Dec 25'!V8 +'Jan 26'!V8+'Feb 26'!V8+'March 26'!V8+'April 26'!V8+'May 26'!V8+'June 26'!V8</f>
        <v>0</v>
      </c>
      <c r="Y8" s="7">
        <f>'July 25'!W8 + 'August 25'!W8 +'Sept 25'!W8 + 'Oct 25'!W8 + 'Nov 25'!W8+ 'Dec 25'!W8 +'Jan 26'!W8+'Feb 26'!W8+'March 26'!W8+'April 26'!W8+'May 26'!W8+'June 26'!W8</f>
        <v>0</v>
      </c>
      <c r="Z8" s="7">
        <f>'July 25'!X8 + 'August 25'!X8 +'Sept 25'!X8 + 'Oct 25'!X8 + 'Nov 25'!X8+ 'Dec 25'!X8 +'Jan 26'!X8+'Feb 26'!X8+'March 26'!X8+'April 26'!X8+'May 26'!X8+'June 26'!X8</f>
        <v>0</v>
      </c>
      <c r="AA8" s="7">
        <f>'July 25'!Y8 + 'August 25'!Y8 +'Sept 25'!Y8 + 'Oct 25'!Y8 + 'Nov 25'!Y8+ 'Dec 25'!Y8 +'Jan 26'!Y8+'Feb 26'!Y8+'March 26'!Y8+'April 26'!Y8+'May 26'!Y8+'June 26'!Y8</f>
        <v>0</v>
      </c>
      <c r="AB8" s="7">
        <f>'July 25'!Z8 + 'August 25'!Z8 +'Sept 25'!Z8 + 'Oct 25'!Z8 + 'Nov 25'!Z8+ 'Dec 25'!Z8 +'Jan 26'!Z8+'Feb 26'!Z8+'March 26'!Z8+'April 26'!Z8+'May 26'!Z8+'June 26'!Z8</f>
        <v>0</v>
      </c>
      <c r="AC8" s="7">
        <f>'July 25'!AA8 + 'August 25'!AA8 +'Sept 25'!AA8 + 'Oct 25'!AA8 + 'Nov 25'!AA8+ 'Dec 25'!AA8 +'Jan 26'!AA8+'Feb 26'!AA8+'March 26'!AA8+'April 26'!AA8+'May 26'!AA8+'June 26'!AA8</f>
        <v>0</v>
      </c>
      <c r="AD8" s="7">
        <f>'July 25'!AB8 + 'August 25'!AB8 +'Sept 25'!AB8 + 'Oct 25'!AB8 + 'Nov 25'!AB8+ 'Dec 25'!AB8 +'Jan 26'!AB8+'Feb 26'!AB8+'March 26'!AB8+'April 26'!AB8+'May 26'!AB8+'June 26'!AB8</f>
        <v>0</v>
      </c>
      <c r="AE8" s="7">
        <f>'July 25'!AC8 + 'August 25'!AC8 +'Sept 25'!AC8 + 'Oct 25'!AC8 + 'Nov 25'!AC8+ 'Dec 25'!AC8 +'Jan 26'!AC8+'Feb 26'!AC8+'March 26'!AC8+'April 26'!AC8+'May 26'!AC8+'June 26'!AC8</f>
        <v>0</v>
      </c>
      <c r="AF8" s="7">
        <f>'July 25'!AD8 + 'August 25'!AD8 +'Sept 25'!AD8 + 'Oct 25'!AD8 + 'Nov 25'!AD8+ 'Dec 25'!AD8 +'Jan 26'!AD8+'Feb 26'!AD8+'March 26'!AD8+'April 26'!AD8+'May 26'!AD8+'June 26'!AD8</f>
        <v>32</v>
      </c>
      <c r="AG8" s="7">
        <f>'July 25'!AE8 + 'August 25'!AE8 +'Sept 25'!AE8 + 'Oct 25'!AE8 + 'Nov 25'!AE8+ 'Dec 25'!AE8 +'Jan 26'!AE8+'Feb 26'!AE8+'March 26'!AE8+'April 26'!AE8+'May 26'!AE8+'June 26'!AE8</f>
        <v>0</v>
      </c>
      <c r="AH8" s="7">
        <f>'July 25'!AF8 + 'August 25'!AF8 +'Sept 25'!AF8 + 'Oct 25'!AF8 + 'Nov 25'!AF8+ 'Dec 25'!AF8 +'Jan 26'!AF8+'Feb 26'!AF8+'March 26'!AF8+'April 26'!AF8+'May 26'!AF8+'June 26'!AF8</f>
        <v>0</v>
      </c>
      <c r="AI8" s="7">
        <f>'July 25'!AG8 + 'August 25'!AG8 +'Sept 25'!AG8 + 'Oct 25'!AG8 + 'Nov 25'!AG8+ 'Dec 25'!AG8 +'Jan 26'!AG8+'Feb 26'!AG8+'March 26'!AG8+'April 26'!AG8+'May 26'!AG8+'June 26'!AG8</f>
        <v>0</v>
      </c>
      <c r="AJ8" s="7">
        <f>'July 25'!AH8 + 'August 25'!AH8 +'Sept 25'!AH8 + 'Oct 25'!AH8 + 'Nov 25'!AH8+ 'Dec 25'!AH8 +'Jan 26'!AH8+'Feb 26'!AH8+'March 26'!AH8+'April 26'!AH8+'May 26'!AH8+'June 26'!AH8</f>
        <v>0</v>
      </c>
      <c r="AK8" s="7">
        <f>'July 25'!AI8 + 'August 25'!AI8 +'Sept 25'!AI8 + 'Oct 25'!AI8 + 'Nov 25'!AI8+ 'Dec 25'!AI8 +'Jan 26'!AI8+'Feb 26'!AI8+'March 26'!AI8+'April 26'!AI8+'May 26'!AI8+'June 26'!AI8</f>
        <v>0</v>
      </c>
      <c r="AL8" s="7">
        <f>'July 25'!AJ8 + 'August 25'!AJ8 +'Sept 25'!AJ8 + 'Oct 25'!AJ8 + 'Nov 25'!AJ8+ 'Dec 25'!AJ8 +'Jan 26'!AJ8+'Feb 26'!AJ8+'March 26'!AJ8+'April 26'!AJ8+'May 26'!AJ8+'June 26'!AJ8</f>
        <v>0</v>
      </c>
      <c r="AM8" s="7">
        <f>'July 25'!AK8 + 'August 25'!AK8 +'Sept 25'!AK8 + 'Oct 25'!AK8 + 'Nov 25'!AK8+ 'Dec 25'!AK8 +'Jan 26'!AK8+'Feb 26'!AK8+'March 26'!AK8+'April 26'!AK8+'May 26'!AK8+'June 26'!AK8</f>
        <v>0</v>
      </c>
      <c r="AN8" s="7">
        <f>'July 25'!AL8 + 'August 25'!AL8 +'Sept 25'!AL8 + 'Oct 25'!AL8 + 'Nov 25'!AL8+ 'Dec 25'!AL8 +'Jan 26'!AL8+'Feb 26'!AL8+'March 26'!AL8+'April 26'!AL8+'May 26'!AL8+'June 26'!AL8</f>
        <v>0</v>
      </c>
      <c r="AO8" s="7">
        <f>'July 25'!AM8 + 'August 25'!AM8 +'Sept 25'!AM8 + 'Oct 25'!AM8 + 'Nov 25'!AM8+ 'Dec 25'!AM8 +'Jan 26'!AM8+'Feb 26'!AM8+'March 26'!AM8+'April 26'!AM8+'May 26'!AM8+'June 26'!AM8</f>
        <v>0</v>
      </c>
      <c r="AP8" s="7">
        <f>'July 25'!AN8 + 'August 25'!AN8 +'Sept 25'!AN8 + 'Oct 25'!AN8 + 'Nov 25'!AN8+ 'Dec 25'!AN8 +'Jan 26'!AN8+'Feb 26'!AN8+'March 26'!AN8+'April 26'!AN8+'May 26'!AN8+'June 26'!AN8</f>
        <v>0</v>
      </c>
      <c r="AQ8" s="7">
        <f>'July 25'!AO8 + 'August 25'!AO8 +'Sept 25'!AO8 + 'Oct 25'!AO8 + 'Nov 25'!AO8+ 'Dec 25'!AO8 +'Jan 26'!AO8+'Feb 26'!AO8+'March 26'!AO8+'April 26'!AO8+'May 26'!AO8+'June 26'!AO8</f>
        <v>0</v>
      </c>
      <c r="AR8" s="7">
        <f>'July 25'!AP8 + 'August 25'!AP8 +'Sept 25'!AP8 + 'Oct 25'!AP8 + 'Nov 25'!AP8+ 'Dec 25'!AP8 +'Jan 26'!AP8+'Feb 26'!AP8+'March 26'!AP8+'April 26'!AP8+'May 26'!AP8+'June 26'!AP8</f>
        <v>74</v>
      </c>
      <c r="AS8" s="7">
        <f>'July 25'!AQ8 + 'August 25'!AQ8 +'Sept 25'!AQ8 + 'Oct 25'!AQ8 + 'Nov 25'!AQ8+ 'Dec 25'!AQ8 +'Jan 26'!AQ8+'Feb 26'!AQ8+'March 26'!AQ8+'April 26'!AQ8+'May 26'!AQ8+'June 26'!AQ8</f>
        <v>0</v>
      </c>
      <c r="AT8" s="7">
        <f>'July 25'!AR8 + 'August 25'!AR8 +'Sept 25'!AR8 + 'Oct 25'!AR8 + 'Nov 25'!AR8+ 'Dec 25'!AR8 +'Jan 26'!AR8+'Feb 26'!AR8+'March 26'!AR8+'April 26'!AR8+'May 26'!AR8+'June 26'!AR8</f>
        <v>0</v>
      </c>
      <c r="AU8" s="7">
        <f>'July 25'!AS8 + 'August 25'!AS8 +'Sept 25'!AS8 + 'Oct 25'!AS8 + 'Nov 25'!AS8+ 'Dec 25'!AS8 +'Jan 26'!AS8+'Feb 26'!AS8+'March 26'!AS8+'April 26'!AS8+'May 26'!AS8+'June 26'!AS8</f>
        <v>12</v>
      </c>
      <c r="AV8" s="7">
        <f>'July 25'!AT8 + 'August 25'!AT8 +'Sept 25'!AT8 + 'Oct 25'!AT8 + 'Nov 25'!AT8+ 'Dec 25'!AT8 +'Jan 26'!AT8+'Feb 26'!AT8+'March 26'!AT8+'April 26'!AT8+'May 26'!AT8+'June 26'!AT8</f>
        <v>0</v>
      </c>
      <c r="AW8" s="7">
        <f>'July 25'!AU8 + 'August 25'!AU8 +'Sept 25'!AU8 + 'Oct 25'!AU8 + 'Nov 25'!AU8+ 'Dec 25'!AU8 +'Jan 26'!AU8+'Feb 26'!AU8+'March 26'!AU8+'April 26'!AU8+'May 26'!AU8+'June 26'!AU8</f>
        <v>0</v>
      </c>
      <c r="AX8" s="7">
        <f>'July 25'!AV8 + 'August 25'!AV8 +'Sept 25'!AV8 + 'Oct 25'!AV8 + 'Nov 25'!AV8+ 'Dec 25'!AV8 +'Jan 26'!AV8+'Feb 26'!AV8+'March 26'!AV8+'April 26'!AV8+'May 26'!AV8+'June 26'!AV8</f>
        <v>0</v>
      </c>
      <c r="AY8" s="7">
        <f>'July 25'!AW8 + 'August 25'!AW8 +'Sept 25'!AW8 + 'Oct 25'!AW8 + 'Nov 25'!AW8+ 'Dec 25'!AW8 +'Jan 26'!AW8+'Feb 26'!AW8+'March 26'!AW8+'April 26'!AW8+'May 26'!AW8+'June 26'!AW8</f>
        <v>0</v>
      </c>
      <c r="AZ8" s="7">
        <f>'July 25'!AX8 + 'August 25'!AX8 +'Sept 25'!AX8 + 'Oct 25'!AX8 + 'Nov 25'!AX8+ 'Dec 25'!AX8 +'Jan 26'!AX8+'Feb 26'!AX8+'March 26'!AX8+'April 26'!AX8+'May 26'!AX8+'June 26'!AX8</f>
        <v>0</v>
      </c>
      <c r="BA8" s="7">
        <f>'July 25'!AY8 + 'August 25'!AY8 +'Sept 25'!AY8 + 'Oct 25'!AY8 + 'Nov 25'!AY8+ 'Dec 25'!AY8 +'Jan 26'!AY8+'Feb 26'!AY8+'March 26'!AY8+'April 26'!AY8+'May 26'!AY8+'June 26'!AY8</f>
        <v>0</v>
      </c>
      <c r="BB8" s="7">
        <f>'July 25'!AZ8 + 'August 25'!AZ8 +'Sept 25'!AZ8 + 'Oct 25'!AZ8 + 'Nov 25'!AZ8+ 'Dec 25'!AZ8 +'Jan 26'!AZ8+'Feb 26'!AZ8+'March 26'!AZ8+'April 26'!AZ8+'May 26'!AZ8+'June 26'!AZ8</f>
        <v>0</v>
      </c>
      <c r="BC8" s="7">
        <f>'July 25'!BA8 + 'August 25'!BA8 +'Sept 25'!BA8 + 'Oct 25'!BA8 + 'Nov 25'!BA8+ 'Dec 25'!BA8 +'Jan 26'!BA8+'Feb 26'!BA8+'March 26'!BA8+'April 26'!BA8+'May 26'!BA8+'June 26'!BA8</f>
        <v>0</v>
      </c>
      <c r="BD8" s="7">
        <f>'July 25'!BB8 + 'August 25'!BB8 +'Sept 25'!BB8 + 'Oct 25'!BB8 + 'Nov 25'!BB8+ 'Dec 25'!BB8 +'Jan 26'!BB8+'Feb 26'!BB8+'March 26'!BB8+'April 26'!BB8+'May 26'!BB8+'June 26'!BB8</f>
        <v>0</v>
      </c>
      <c r="BE8" s="7">
        <f>'July 25'!BC8 + 'August 25'!BC8 +'Sept 25'!BC8 + 'Oct 25'!BC8 + 'Nov 25'!BC8+ 'Dec 25'!BC8 +'Jan 26'!BC8+'Feb 26'!BC8+'March 26'!BC8+'April 26'!BC8+'May 26'!BC8+'June 26'!BC8</f>
        <v>0</v>
      </c>
      <c r="BF8" s="7">
        <f>'July 25'!BD8 + 'August 25'!BD8 +'Sept 25'!BD8 + 'Oct 25'!BD8 + 'Nov 25'!BD8+ 'Dec 25'!BD8 +'Jan 26'!BD8+'Feb 26'!BD8+'March 26'!BD8+'April 26'!BD8+'May 26'!BD8+'June 26'!BD8</f>
        <v>0</v>
      </c>
      <c r="BG8" s="7">
        <f>'July 25'!BE8 + 'August 25'!BE8 +'Sept 25'!BE8 + 'Oct 25'!BE8 + 'Nov 25'!BE8+ 'Dec 25'!BE8 +'Jan 26'!BE8+'Feb 26'!BE8+'March 26'!BE8+'April 26'!BE8+'May 26'!BE8+'June 26'!BE8</f>
        <v>0</v>
      </c>
      <c r="BH8" s="7">
        <f>'July 25'!BF8 + 'August 25'!BF8 +'Sept 25'!BF8 + 'Oct 25'!BF8 + 'Nov 25'!BF8+ 'Dec 25'!BF8 +'Jan 26'!BF8+'Feb 26'!BF8+'March 26'!BF8+'April 26'!BF8+'May 26'!BF8+'June 26'!BF8</f>
        <v>0</v>
      </c>
      <c r="BI8" s="7">
        <f>'July 25'!BG8 + 'August 25'!BG8 +'Sept 25'!BG8 + 'Oct 25'!BG8 + 'Nov 25'!BG8+ 'Dec 25'!BG8 +'Jan 26'!BG8+'Feb 26'!BG8+'March 26'!BG8+'April 26'!BG8+'May 26'!BG8+'June 26'!BG8</f>
        <v>0</v>
      </c>
      <c r="BJ8" s="7">
        <f>'July 25'!BH8 + 'August 25'!BH8 +'Sept 25'!BH8 + 'Oct 25'!BH8 + 'Nov 25'!BH8+ 'Dec 25'!BH8 +'Jan 26'!BH8+'Feb 26'!BH8+'March 26'!BH8+'April 26'!BH8+'May 26'!BH8+'June 26'!BH8</f>
        <v>5</v>
      </c>
      <c r="BK8" s="7">
        <f>'July 25'!BI8 + 'August 25'!BI8 +'Sept 25'!BI8 + 'Oct 25'!BI8 + 'Nov 25'!BI8+ 'Dec 25'!BI8 +'Jan 26'!BI8+'Feb 26'!BI8+'March 26'!BI8+'April 26'!BI8+'May 26'!BI8+'June 26'!BI8</f>
        <v>0</v>
      </c>
      <c r="BL8" s="7">
        <f>'July 25'!BJ8 + 'August 25'!BJ8 +'Sept 25'!BJ8 + 'Oct 25'!BJ8 + 'Nov 25'!BJ8+ 'Dec 25'!BJ8 +'Jan 26'!BJ8+'Feb 26'!BJ8+'March 26'!BJ8+'April 26'!BJ8+'May 26'!BJ8+'June 26'!BJ8</f>
        <v>0</v>
      </c>
      <c r="BM8" s="7">
        <f>'July 25'!BK8 + 'August 25'!BK8 +'Sept 25'!BK8 + 'Oct 25'!BK8 + 'Nov 25'!BK8+ 'Dec 25'!BK8 +'Jan 26'!BK8+'Feb 26'!BK8+'March 26'!BK8+'April 26'!BK8+'May 26'!BK8+'June 26'!BK8</f>
        <v>0</v>
      </c>
      <c r="BN8" s="7">
        <f>'July 25'!BL8 + 'August 25'!BL8 +'Sept 25'!BL8 + 'Oct 25'!BL8 + 'Nov 25'!BL8+ 'Dec 25'!BL8 +'Jan 26'!BL8+'Feb 26'!BL8+'March 26'!BL8+'April 26'!BL8+'May 26'!BL8+'June 26'!BL8</f>
        <v>0</v>
      </c>
      <c r="BO8" s="7">
        <f>'July 25'!BM8 + 'August 25'!BM8 +'Sept 25'!BM8 + 'Oct 25'!BM8 + 'Nov 25'!BM8+ 'Dec 25'!BM8 +'Jan 26'!BM8+'Feb 26'!BM8+'March 26'!BM8+'April 26'!BM8+'May 26'!BM8+'June 26'!BM8</f>
        <v>0</v>
      </c>
      <c r="BP8" s="7">
        <f>'July 25'!BN8 + 'August 25'!BN8 +'Sept 25'!BN8 + 'Oct 25'!BN8 + 'Nov 25'!BN8+ 'Dec 25'!BN8 +'Jan 26'!BN8+'Feb 26'!BN8+'March 26'!BN8+'April 26'!BN8+'May 26'!BN8+'June 26'!BN8</f>
        <v>0</v>
      </c>
      <c r="BQ8" s="7">
        <f>'July 25'!BO8 + 'August 25'!BO8 +'Sept 25'!BO8 + 'Oct 25'!BO8 + 'Nov 25'!BO8+ 'Dec 25'!BO8 +'Jan 26'!BO8+'Feb 26'!BO8+'March 26'!BO8+'April 26'!BO8+'May 26'!BO8+'June 26'!BO8</f>
        <v>0</v>
      </c>
      <c r="BR8" s="7">
        <f>'July 25'!BP8 + 'August 25'!BP8 +'Sept 25'!BP8 + 'Oct 25'!BP8 + 'Nov 25'!BP8+ 'Dec 25'!BP8 +'Jan 26'!BP8+'Feb 26'!BP8+'March 26'!BP8+'April 26'!BP8+'May 26'!BP8+'June 26'!BP8</f>
        <v>0</v>
      </c>
      <c r="BS8" s="7">
        <f>'July 25'!BQ8 + 'August 25'!BQ8 +'Sept 25'!BQ8 + 'Oct 25'!BQ8 + 'Nov 25'!BQ8+ 'Dec 25'!BQ8 +'Jan 26'!BQ8+'Feb 26'!BQ8+'March 26'!BQ8+'April 26'!BQ8+'May 26'!BQ8+'June 26'!BQ8</f>
        <v>38</v>
      </c>
      <c r="BT8" s="7">
        <f>'July 25'!BR8 + 'August 25'!BR8 +'Sept 25'!BR8 + 'Oct 25'!BR8 + 'Nov 25'!BR8+ 'Dec 25'!BR8 +'Jan 26'!BR8+'Feb 26'!BR8+'March 26'!BR8+'April 26'!BR8+'May 26'!BR8+'June 26'!BR8</f>
        <v>0</v>
      </c>
      <c r="BU8" s="7">
        <f>'July 25'!BS8 + 'August 25'!BS8 +'Sept 25'!BS8 + 'Oct 25'!BS8 + 'Nov 25'!BS8+ 'Dec 25'!BS8 +'Jan 26'!BS8+'Feb 26'!BS8+'March 26'!BS8+'April 26'!BS8+'May 26'!BS8+'June 26'!BS8</f>
        <v>0</v>
      </c>
      <c r="BV8" s="7">
        <f>'July 25'!BT8 + 'August 25'!BT8 +'Sept 25'!BT8 + 'Oct 25'!BT8 + 'Nov 25'!BT8+ 'Dec 25'!BT8 +'Jan 26'!BT8+'Feb 26'!BT8+'March 26'!BT8+'April 26'!BT8+'May 26'!BT8+'June 26'!BT8</f>
        <v>0</v>
      </c>
      <c r="BW8" s="7">
        <f>'July 25'!BU8 + 'August 25'!BU8 +'Sept 25'!BU8 + 'Oct 25'!BU8 + 'Nov 25'!BU8+ 'Dec 25'!BU8 +'Jan 26'!BU8+'Feb 26'!BU8+'March 26'!BU8+'April 26'!BU8+'May 26'!BU8+'June 26'!BU8</f>
        <v>0</v>
      </c>
      <c r="BX8" s="7">
        <f>'July 25'!BV8 + 'August 25'!BV8 +'Sept 25'!BV8 + 'Oct 25'!BV8 + 'Nov 25'!BV8+ 'Dec 25'!BV8 +'Jan 26'!BV8+'Feb 26'!BV8+'March 26'!BV8+'April 26'!BV8+'May 26'!BV8+'June 26'!BV8</f>
        <v>0</v>
      </c>
      <c r="BY8" s="7">
        <f>'July 25'!BW8 + 'August 25'!BW8 +'Sept 25'!BW8 + 'Oct 25'!BW8 + 'Nov 25'!BW8+ 'Dec 25'!BW8 +'Jan 26'!BW8+'Feb 26'!BW8+'March 26'!BW8+'April 26'!BW8+'May 26'!BW8+'June 26'!BW8</f>
        <v>746</v>
      </c>
      <c r="BZ8" s="7">
        <f>'July 25'!BX8 + 'August 25'!BX8 +'Sept 25'!BX8 + 'Oct 25'!BX8 + 'Nov 25'!BX8+ 'Dec 25'!BX8 +'Jan 26'!BX8+'Feb 26'!BX8+'March 26'!BX8+'April 26'!BX8+'May 26'!BX8+'June 26'!BX8</f>
        <v>0</v>
      </c>
      <c r="CA8" s="7">
        <f>'July 25'!BY8 + 'August 25'!BY8 +'Sept 25'!BY8 + 'Oct 25'!BY8 + 'Nov 25'!BY8+ 'Dec 25'!BY8 +'Jan 26'!BY8+'Feb 26'!BY8+'March 26'!BY8+'April 26'!BY8+'May 26'!BY8+'June 26'!BY8</f>
        <v>0</v>
      </c>
      <c r="CB8" s="7">
        <f>'July 25'!BZ8 + 'August 25'!BZ8 +'Sept 25'!BZ8 + 'Oct 25'!BZ8 + 'Nov 25'!BZ8+ 'Dec 25'!BZ8 +'Jan 26'!BZ8+'Feb 26'!BZ8+'March 26'!BZ8+'April 26'!BZ8+'May 26'!BZ8+'June 26'!BZ8</f>
        <v>27</v>
      </c>
      <c r="CC8" s="7">
        <f>'July 25'!CA8 + 'August 25'!CA8 +'Sept 25'!CA8 + 'Oct 25'!CA8 + 'Nov 25'!CA8+ 'Dec 25'!CA8 +'Jan 26'!CA8+'Feb 26'!CA8+'March 26'!CA8+'April 26'!CA8+'May 26'!CA8+'June 26'!CA8</f>
        <v>0</v>
      </c>
      <c r="CD8" s="7">
        <f>'July 25'!CB8 + 'August 25'!CB8 +'Sept 25'!CB8 + 'Oct 25'!CB8 + 'Nov 25'!CB8+ 'Dec 25'!CB8 +'Jan 26'!CB8+'Feb 26'!CB8+'March 26'!CB8+'April 26'!CB8+'May 26'!CB8+'June 26'!CB8</f>
        <v>0</v>
      </c>
      <c r="CE8" s="7">
        <f>'July 25'!CC8 + 'August 25'!CC8 +'Sept 25'!CC8 + 'Oct 25'!CC8 + 'Nov 25'!CC8+ 'Dec 25'!CC8 +'Jan 26'!CC8+'Feb 26'!CC8+'March 26'!CC8+'April 26'!CC8+'May 26'!CC8+'June 26'!CC8</f>
        <v>14</v>
      </c>
      <c r="CF8" s="8" cm="1">
        <f t="array" ref="CF8">SUMPRODUCT(--(UPPER($F$2:$CE$2)="NET NEW"),$F8:$CE8)</f>
        <v>0</v>
      </c>
      <c r="CG8" s="3">
        <f>SUMIF($F$2:$CE$2,"Enhance Existing",$F8:$CE8)</f>
        <v>201</v>
      </c>
      <c r="CH8" s="3">
        <f>SUMIF($F$2:$CE$2,"Maintenance",$F8:$CE8)</f>
        <v>1188</v>
      </c>
    </row>
    <row r="9" spans="1:86" ht="15.95">
      <c r="A9" s="7" t="s">
        <v>41</v>
      </c>
      <c r="B9" s="7" t="s">
        <v>39</v>
      </c>
      <c r="C9" s="7" t="s">
        <v>48</v>
      </c>
      <c r="D9" s="12">
        <v>85</v>
      </c>
      <c r="E9" s="7"/>
      <c r="F9" s="7">
        <f>'July 25'!D9 + 'August 25'!D9 +'Sept 25'!D9 + 'Oct 25'!D9 + 'Nov 25'!D9+ 'Dec 25'!D9 +'Jan 26'!D9+'Feb 26'!D9+'March 26'!D9+'April 26'!D9+'May 26'!D9+'June 26'!D9</f>
        <v>0</v>
      </c>
      <c r="G9" s="7">
        <f>'July 25'!E9 + 'August 25'!E9 +'Sept 25'!E9 + 'Oct 25'!E9 + 'Nov 25'!E9+ 'Dec 25'!E9 +'Jan 26'!E9+'Feb 26'!E9+'March 26'!E9+'April 26'!E9+'May 26'!E9+'June 26'!E9</f>
        <v>0</v>
      </c>
      <c r="H9" s="7">
        <f>'July 25'!F9 + 'August 25'!F9 +'Sept 25'!F9 + 'Oct 25'!F9 + 'Nov 25'!F9+ 'Dec 25'!F9 +'Jan 26'!F9+'Feb 26'!F9+'March 26'!F9+'April 26'!F9+'May 26'!F9+'June 26'!F9</f>
        <v>0</v>
      </c>
      <c r="I9" s="7">
        <f>'July 25'!G9 + 'August 25'!G9 +'Sept 25'!G9 + 'Oct 25'!G9 + 'Nov 25'!G9+ 'Dec 25'!G9 +'Jan 26'!G9+'Feb 26'!G9+'March 26'!G9+'April 26'!G9+'May 26'!G9+'June 26'!G9</f>
        <v>0</v>
      </c>
      <c r="J9" s="7">
        <f>'July 25'!H9 + 'August 25'!H9 +'Sept 25'!H9 + 'Oct 25'!H9 + 'Nov 25'!H9+ 'Dec 25'!H9 +'Jan 26'!H9+'Feb 26'!H9+'March 26'!H9+'April 26'!H9+'May 26'!H9+'June 26'!H9</f>
        <v>0</v>
      </c>
      <c r="K9" s="7">
        <f>'July 25'!I9 + 'August 25'!I9 +'Sept 25'!I9 + 'Oct 25'!I9 + 'Nov 25'!I9+ 'Dec 25'!I9 +'Jan 26'!I9+'Feb 26'!I9+'March 26'!I9+'April 26'!I9+'May 26'!I9+'June 26'!I9</f>
        <v>0</v>
      </c>
      <c r="L9" s="7">
        <f>'July 25'!J9 + 'August 25'!J9 +'Sept 25'!J9 + 'Oct 25'!J9 + 'Nov 25'!J9+ 'Dec 25'!J9 +'Jan 26'!J9+'Feb 26'!J9+'March 26'!J9+'April 26'!J9+'May 26'!J9+'June 26'!J9</f>
        <v>0</v>
      </c>
      <c r="M9" s="7">
        <f>'July 25'!K9 + 'August 25'!K9 +'Sept 25'!K9 + 'Oct 25'!K9 + 'Nov 25'!K9+ 'Dec 25'!K9 +'Jan 26'!K9+'Feb 26'!K9+'March 26'!K9+'April 26'!K9+'May 26'!K9+'June 26'!K9</f>
        <v>0</v>
      </c>
      <c r="N9" s="7">
        <f>'July 25'!L9 + 'August 25'!L9 +'Sept 25'!L9 + 'Oct 25'!L9 + 'Nov 25'!L9+ 'Dec 25'!L9 +'Jan 26'!L9+'Feb 26'!L9+'March 26'!L9+'April 26'!L9+'May 26'!L9+'June 26'!L9</f>
        <v>0</v>
      </c>
      <c r="O9" s="7">
        <f>'July 25'!M9 + 'August 25'!M9 +'Sept 25'!M9 + 'Oct 25'!M9 + 'Nov 25'!M9+ 'Dec 25'!M9 +'Jan 26'!M9+'Feb 26'!M9+'March 26'!M9+'April 26'!M9+'May 26'!M9+'June 26'!M9</f>
        <v>0</v>
      </c>
      <c r="P9" s="7">
        <f>'July 25'!N9 + 'August 25'!N9 +'Sept 25'!N9 + 'Oct 25'!N9 + 'Nov 25'!N9+ 'Dec 25'!N9 +'Jan 26'!N9+'Feb 26'!N9+'March 26'!N9+'April 26'!N9+'May 26'!N9+'June 26'!N9</f>
        <v>0</v>
      </c>
      <c r="Q9" s="7">
        <f>'July 25'!O9 + 'August 25'!O9 +'Sept 25'!O9 + 'Oct 25'!O9 + 'Nov 25'!O9+ 'Dec 25'!O9 +'Jan 26'!O9+'Feb 26'!O9+'March 26'!O9+'April 26'!O9+'May 26'!O9+'June 26'!O9</f>
        <v>0</v>
      </c>
      <c r="R9" s="7">
        <f>'July 25'!P9 + 'August 25'!P9 +'Sept 25'!P9 + 'Oct 25'!P9 + 'Nov 25'!P9+ 'Dec 25'!P9 +'Jan 26'!P9+'Feb 26'!P9+'March 26'!P9+'April 26'!P9+'May 26'!P9+'June 26'!P9</f>
        <v>0</v>
      </c>
      <c r="S9" s="7">
        <f>'July 25'!Q9 + 'August 25'!Q9 +'Sept 25'!Q9 + 'Oct 25'!Q9 + 'Nov 25'!Q9+ 'Dec 25'!Q9 +'Jan 26'!Q9+'Feb 26'!Q9+'March 26'!Q9+'April 26'!Q9+'May 26'!Q9+'June 26'!Q9</f>
        <v>0</v>
      </c>
      <c r="T9" s="7">
        <f>'July 25'!R9 + 'August 25'!R9 +'Sept 25'!R9 + 'Oct 25'!R9 + 'Nov 25'!R9+ 'Dec 25'!R9 +'Jan 26'!R9+'Feb 26'!R9+'March 26'!R9+'April 26'!R9+'May 26'!R9+'June 26'!R9</f>
        <v>0</v>
      </c>
      <c r="U9" s="7">
        <f>'July 25'!S9 + 'August 25'!S9 +'Sept 25'!S9 + 'Oct 25'!S9 + 'Nov 25'!S9+ 'Dec 25'!S9 +'Jan 26'!S9+'Feb 26'!S9+'March 26'!S9+'April 26'!S9+'May 26'!S9+'June 26'!S9</f>
        <v>0</v>
      </c>
      <c r="V9" s="7">
        <f>'July 25'!T9 + 'August 25'!T9 +'Sept 25'!T9 + 'Oct 25'!T9 + 'Nov 25'!T9+ 'Dec 25'!T9 +'Jan 26'!T9+'Feb 26'!T9+'March 26'!T9+'April 26'!T9+'May 26'!T9+'June 26'!T9</f>
        <v>0</v>
      </c>
      <c r="W9" s="7">
        <f>'July 25'!U9 + 'August 25'!U9 +'Sept 25'!U9 + 'Oct 25'!U9 + 'Nov 25'!U9+ 'Dec 25'!U9 +'Jan 26'!U9+'Feb 26'!U9+'March 26'!U9+'April 26'!U9+'May 26'!U9+'June 26'!U9</f>
        <v>0</v>
      </c>
      <c r="X9" s="7">
        <f>'July 25'!V9 + 'August 25'!V9 +'Sept 25'!V9 + 'Oct 25'!V9 + 'Nov 25'!V9+ 'Dec 25'!V9 +'Jan 26'!V9+'Feb 26'!V9+'March 26'!V9+'April 26'!V9+'May 26'!V9+'June 26'!V9</f>
        <v>0</v>
      </c>
      <c r="Y9" s="7">
        <f>'July 25'!W9 + 'August 25'!W9 +'Sept 25'!W9 + 'Oct 25'!W9 + 'Nov 25'!W9+ 'Dec 25'!W9 +'Jan 26'!W9+'Feb 26'!W9+'March 26'!W9+'April 26'!W9+'May 26'!W9+'June 26'!W9</f>
        <v>0</v>
      </c>
      <c r="Z9" s="7">
        <f>'July 25'!X9 + 'August 25'!X9 +'Sept 25'!X9 + 'Oct 25'!X9 + 'Nov 25'!X9+ 'Dec 25'!X9 +'Jan 26'!X9+'Feb 26'!X9+'March 26'!X9+'April 26'!X9+'May 26'!X9+'June 26'!X9</f>
        <v>0</v>
      </c>
      <c r="AA9" s="7">
        <f>'July 25'!Y9 + 'August 25'!Y9 +'Sept 25'!Y9 + 'Oct 25'!Y9 + 'Nov 25'!Y9+ 'Dec 25'!Y9 +'Jan 26'!Y9+'Feb 26'!Y9+'March 26'!Y9+'April 26'!Y9+'May 26'!Y9+'June 26'!Y9</f>
        <v>0</v>
      </c>
      <c r="AB9" s="7">
        <f>'July 25'!Z9 + 'August 25'!Z9 +'Sept 25'!Z9 + 'Oct 25'!Z9 + 'Nov 25'!Z9+ 'Dec 25'!Z9 +'Jan 26'!Z9+'Feb 26'!Z9+'March 26'!Z9+'April 26'!Z9+'May 26'!Z9+'June 26'!Z9</f>
        <v>0</v>
      </c>
      <c r="AC9" s="7">
        <f>'July 25'!AA9 + 'August 25'!AA9 +'Sept 25'!AA9 + 'Oct 25'!AA9 + 'Nov 25'!AA9+ 'Dec 25'!AA9 +'Jan 26'!AA9+'Feb 26'!AA9+'March 26'!AA9+'April 26'!AA9+'May 26'!AA9+'June 26'!AA9</f>
        <v>0</v>
      </c>
      <c r="AD9" s="7">
        <f>'July 25'!AB9 + 'August 25'!AB9 +'Sept 25'!AB9 + 'Oct 25'!AB9 + 'Nov 25'!AB9+ 'Dec 25'!AB9 +'Jan 26'!AB9+'Feb 26'!AB9+'March 26'!AB9+'April 26'!AB9+'May 26'!AB9+'June 26'!AB9</f>
        <v>0</v>
      </c>
      <c r="AE9" s="7">
        <f>'July 25'!AC9 + 'August 25'!AC9 +'Sept 25'!AC9 + 'Oct 25'!AC9 + 'Nov 25'!AC9+ 'Dec 25'!AC9 +'Jan 26'!AC9+'Feb 26'!AC9+'March 26'!AC9+'April 26'!AC9+'May 26'!AC9+'June 26'!AC9</f>
        <v>0</v>
      </c>
      <c r="AF9" s="7">
        <f>'July 25'!AD9 + 'August 25'!AD9 +'Sept 25'!AD9 + 'Oct 25'!AD9 + 'Nov 25'!AD9+ 'Dec 25'!AD9 +'Jan 26'!AD9+'Feb 26'!AD9+'March 26'!AD9+'April 26'!AD9+'May 26'!AD9+'June 26'!AD9</f>
        <v>0</v>
      </c>
      <c r="AG9" s="7">
        <f>'July 25'!AE9 + 'August 25'!AE9 +'Sept 25'!AE9 + 'Oct 25'!AE9 + 'Nov 25'!AE9+ 'Dec 25'!AE9 +'Jan 26'!AE9+'Feb 26'!AE9+'March 26'!AE9+'April 26'!AE9+'May 26'!AE9+'June 26'!AE9</f>
        <v>0</v>
      </c>
      <c r="AH9" s="7">
        <f>'July 25'!AF9 + 'August 25'!AF9 +'Sept 25'!AF9 + 'Oct 25'!AF9 + 'Nov 25'!AF9+ 'Dec 25'!AF9 +'Jan 26'!AF9+'Feb 26'!AF9+'March 26'!AF9+'April 26'!AF9+'May 26'!AF9+'June 26'!AF9</f>
        <v>0</v>
      </c>
      <c r="AI9" s="7">
        <f>'July 25'!AG9 + 'August 25'!AG9 +'Sept 25'!AG9 + 'Oct 25'!AG9 + 'Nov 25'!AG9+ 'Dec 25'!AG9 +'Jan 26'!AG9+'Feb 26'!AG9+'March 26'!AG9+'April 26'!AG9+'May 26'!AG9+'June 26'!AG9</f>
        <v>0</v>
      </c>
      <c r="AJ9" s="7">
        <f>'July 25'!AH9 + 'August 25'!AH9 +'Sept 25'!AH9 + 'Oct 25'!AH9 + 'Nov 25'!AH9+ 'Dec 25'!AH9 +'Jan 26'!AH9+'Feb 26'!AH9+'March 26'!AH9+'April 26'!AH9+'May 26'!AH9+'June 26'!AH9</f>
        <v>0</v>
      </c>
      <c r="AK9" s="7">
        <f>'July 25'!AI9 + 'August 25'!AI9 +'Sept 25'!AI9 + 'Oct 25'!AI9 + 'Nov 25'!AI9+ 'Dec 25'!AI9 +'Jan 26'!AI9+'Feb 26'!AI9+'March 26'!AI9+'April 26'!AI9+'May 26'!AI9+'June 26'!AI9</f>
        <v>0</v>
      </c>
      <c r="AL9" s="7">
        <f>'July 25'!AJ9 + 'August 25'!AJ9 +'Sept 25'!AJ9 + 'Oct 25'!AJ9 + 'Nov 25'!AJ9+ 'Dec 25'!AJ9 +'Jan 26'!AJ9+'Feb 26'!AJ9+'March 26'!AJ9+'April 26'!AJ9+'May 26'!AJ9+'June 26'!AJ9</f>
        <v>0</v>
      </c>
      <c r="AM9" s="7">
        <f>'July 25'!AK9 + 'August 25'!AK9 +'Sept 25'!AK9 + 'Oct 25'!AK9 + 'Nov 25'!AK9+ 'Dec 25'!AK9 +'Jan 26'!AK9+'Feb 26'!AK9+'March 26'!AK9+'April 26'!AK9+'May 26'!AK9+'June 26'!AK9</f>
        <v>0</v>
      </c>
      <c r="AN9" s="7">
        <f>'July 25'!AL9 + 'August 25'!AL9 +'Sept 25'!AL9 + 'Oct 25'!AL9 + 'Nov 25'!AL9+ 'Dec 25'!AL9 +'Jan 26'!AL9+'Feb 26'!AL9+'March 26'!AL9+'April 26'!AL9+'May 26'!AL9+'June 26'!AL9</f>
        <v>0</v>
      </c>
      <c r="AO9" s="7">
        <f>'July 25'!AM9 + 'August 25'!AM9 +'Sept 25'!AM9 + 'Oct 25'!AM9 + 'Nov 25'!AM9+ 'Dec 25'!AM9 +'Jan 26'!AM9+'Feb 26'!AM9+'March 26'!AM9+'April 26'!AM9+'May 26'!AM9+'June 26'!AM9</f>
        <v>0</v>
      </c>
      <c r="AP9" s="7">
        <f>'July 25'!AN9 + 'August 25'!AN9 +'Sept 25'!AN9 + 'Oct 25'!AN9 + 'Nov 25'!AN9+ 'Dec 25'!AN9 +'Jan 26'!AN9+'Feb 26'!AN9+'March 26'!AN9+'April 26'!AN9+'May 26'!AN9+'June 26'!AN9</f>
        <v>0</v>
      </c>
      <c r="AQ9" s="7">
        <f>'July 25'!AO9 + 'August 25'!AO9 +'Sept 25'!AO9 + 'Oct 25'!AO9 + 'Nov 25'!AO9+ 'Dec 25'!AO9 +'Jan 26'!AO9+'Feb 26'!AO9+'March 26'!AO9+'April 26'!AO9+'May 26'!AO9+'June 26'!AO9</f>
        <v>0</v>
      </c>
      <c r="AR9" s="7">
        <f>'July 25'!AP9 + 'August 25'!AP9 +'Sept 25'!AP9 + 'Oct 25'!AP9 + 'Nov 25'!AP9+ 'Dec 25'!AP9 +'Jan 26'!AP9+'Feb 26'!AP9+'March 26'!AP9+'April 26'!AP9+'May 26'!AP9+'June 26'!AP9</f>
        <v>452</v>
      </c>
      <c r="AS9" s="7">
        <f>'July 25'!AQ9 + 'August 25'!AQ9 +'Sept 25'!AQ9 + 'Oct 25'!AQ9 + 'Nov 25'!AQ9+ 'Dec 25'!AQ9 +'Jan 26'!AQ9+'Feb 26'!AQ9+'March 26'!AQ9+'April 26'!AQ9+'May 26'!AQ9+'June 26'!AQ9</f>
        <v>0</v>
      </c>
      <c r="AT9" s="7">
        <f>'July 25'!AR9 + 'August 25'!AR9 +'Sept 25'!AR9 + 'Oct 25'!AR9 + 'Nov 25'!AR9+ 'Dec 25'!AR9 +'Jan 26'!AR9+'Feb 26'!AR9+'March 26'!AR9+'April 26'!AR9+'May 26'!AR9+'June 26'!AR9</f>
        <v>0</v>
      </c>
      <c r="AU9" s="7">
        <f>'July 25'!AS9 + 'August 25'!AS9 +'Sept 25'!AS9 + 'Oct 25'!AS9 + 'Nov 25'!AS9+ 'Dec 25'!AS9 +'Jan 26'!AS9+'Feb 26'!AS9+'March 26'!AS9+'April 26'!AS9+'May 26'!AS9+'June 26'!AS9</f>
        <v>469</v>
      </c>
      <c r="AV9" s="7">
        <f>'July 25'!AT9 + 'August 25'!AT9 +'Sept 25'!AT9 + 'Oct 25'!AT9 + 'Nov 25'!AT9+ 'Dec 25'!AT9 +'Jan 26'!AT9+'Feb 26'!AT9+'March 26'!AT9+'April 26'!AT9+'May 26'!AT9+'June 26'!AT9</f>
        <v>0</v>
      </c>
      <c r="AW9" s="7">
        <f>'July 25'!AU9 + 'August 25'!AU9 +'Sept 25'!AU9 + 'Oct 25'!AU9 + 'Nov 25'!AU9+ 'Dec 25'!AU9 +'Jan 26'!AU9+'Feb 26'!AU9+'March 26'!AU9+'April 26'!AU9+'May 26'!AU9+'June 26'!AU9</f>
        <v>0</v>
      </c>
      <c r="AX9" s="7">
        <f>'July 25'!AV9 + 'August 25'!AV9 +'Sept 25'!AV9 + 'Oct 25'!AV9 + 'Nov 25'!AV9+ 'Dec 25'!AV9 +'Jan 26'!AV9+'Feb 26'!AV9+'March 26'!AV9+'April 26'!AV9+'May 26'!AV9+'June 26'!AV9</f>
        <v>0</v>
      </c>
      <c r="AY9" s="7">
        <f>'July 25'!AW9 + 'August 25'!AW9 +'Sept 25'!AW9 + 'Oct 25'!AW9 + 'Nov 25'!AW9+ 'Dec 25'!AW9 +'Jan 26'!AW9+'Feb 26'!AW9+'March 26'!AW9+'April 26'!AW9+'May 26'!AW9+'June 26'!AW9</f>
        <v>0</v>
      </c>
      <c r="AZ9" s="7">
        <f>'July 25'!AX9 + 'August 25'!AX9 +'Sept 25'!AX9 + 'Oct 25'!AX9 + 'Nov 25'!AX9+ 'Dec 25'!AX9 +'Jan 26'!AX9+'Feb 26'!AX9+'March 26'!AX9+'April 26'!AX9+'May 26'!AX9+'June 26'!AX9</f>
        <v>0</v>
      </c>
      <c r="BA9" s="7">
        <f>'July 25'!AY9 + 'August 25'!AY9 +'Sept 25'!AY9 + 'Oct 25'!AY9 + 'Nov 25'!AY9+ 'Dec 25'!AY9 +'Jan 26'!AY9+'Feb 26'!AY9+'March 26'!AY9+'April 26'!AY9+'May 26'!AY9+'June 26'!AY9</f>
        <v>0</v>
      </c>
      <c r="BB9" s="7">
        <f>'July 25'!AZ9 + 'August 25'!AZ9 +'Sept 25'!AZ9 + 'Oct 25'!AZ9 + 'Nov 25'!AZ9+ 'Dec 25'!AZ9 +'Jan 26'!AZ9+'Feb 26'!AZ9+'March 26'!AZ9+'April 26'!AZ9+'May 26'!AZ9+'June 26'!AZ9</f>
        <v>0</v>
      </c>
      <c r="BC9" s="7">
        <f>'July 25'!BA9 + 'August 25'!BA9 +'Sept 25'!BA9 + 'Oct 25'!BA9 + 'Nov 25'!BA9+ 'Dec 25'!BA9 +'Jan 26'!BA9+'Feb 26'!BA9+'March 26'!BA9+'April 26'!BA9+'May 26'!BA9+'June 26'!BA9</f>
        <v>0</v>
      </c>
      <c r="BD9" s="7">
        <f>'July 25'!BB9 + 'August 25'!BB9 +'Sept 25'!BB9 + 'Oct 25'!BB9 + 'Nov 25'!BB9+ 'Dec 25'!BB9 +'Jan 26'!BB9+'Feb 26'!BB9+'March 26'!BB9+'April 26'!BB9+'May 26'!BB9+'June 26'!BB9</f>
        <v>0</v>
      </c>
      <c r="BE9" s="7">
        <f>'July 25'!BC9 + 'August 25'!BC9 +'Sept 25'!BC9 + 'Oct 25'!BC9 + 'Nov 25'!BC9+ 'Dec 25'!BC9 +'Jan 26'!BC9+'Feb 26'!BC9+'March 26'!BC9+'April 26'!BC9+'May 26'!BC9+'June 26'!BC9</f>
        <v>0</v>
      </c>
      <c r="BF9" s="7">
        <f>'July 25'!BD9 + 'August 25'!BD9 +'Sept 25'!BD9 + 'Oct 25'!BD9 + 'Nov 25'!BD9+ 'Dec 25'!BD9 +'Jan 26'!BD9+'Feb 26'!BD9+'March 26'!BD9+'April 26'!BD9+'May 26'!BD9+'June 26'!BD9</f>
        <v>0</v>
      </c>
      <c r="BG9" s="7">
        <f>'July 25'!BE9 + 'August 25'!BE9 +'Sept 25'!BE9 + 'Oct 25'!BE9 + 'Nov 25'!BE9+ 'Dec 25'!BE9 +'Jan 26'!BE9+'Feb 26'!BE9+'March 26'!BE9+'April 26'!BE9+'May 26'!BE9+'June 26'!BE9</f>
        <v>0</v>
      </c>
      <c r="BH9" s="7">
        <f>'July 25'!BF9 + 'August 25'!BF9 +'Sept 25'!BF9 + 'Oct 25'!BF9 + 'Nov 25'!BF9+ 'Dec 25'!BF9 +'Jan 26'!BF9+'Feb 26'!BF9+'March 26'!BF9+'April 26'!BF9+'May 26'!BF9+'June 26'!BF9</f>
        <v>222</v>
      </c>
      <c r="BI9" s="7">
        <f>'July 25'!BG9 + 'August 25'!BG9 +'Sept 25'!BG9 + 'Oct 25'!BG9 + 'Nov 25'!BG9+ 'Dec 25'!BG9 +'Jan 26'!BG9+'Feb 26'!BG9+'March 26'!BG9+'April 26'!BG9+'May 26'!BG9+'June 26'!BG9</f>
        <v>0</v>
      </c>
      <c r="BJ9" s="7">
        <f>'July 25'!BH9 + 'August 25'!BH9 +'Sept 25'!BH9 + 'Oct 25'!BH9 + 'Nov 25'!BH9+ 'Dec 25'!BH9 +'Jan 26'!BH9+'Feb 26'!BH9+'March 26'!BH9+'April 26'!BH9+'May 26'!BH9+'June 26'!BH9</f>
        <v>0</v>
      </c>
      <c r="BK9" s="7">
        <f>'July 25'!BI9 + 'August 25'!BI9 +'Sept 25'!BI9 + 'Oct 25'!BI9 + 'Nov 25'!BI9+ 'Dec 25'!BI9 +'Jan 26'!BI9+'Feb 26'!BI9+'March 26'!BI9+'April 26'!BI9+'May 26'!BI9+'June 26'!BI9</f>
        <v>0</v>
      </c>
      <c r="BL9" s="7">
        <f>'July 25'!BJ9 + 'August 25'!BJ9 +'Sept 25'!BJ9 + 'Oct 25'!BJ9 + 'Nov 25'!BJ9+ 'Dec 25'!BJ9 +'Jan 26'!BJ9+'Feb 26'!BJ9+'March 26'!BJ9+'April 26'!BJ9+'May 26'!BJ9+'June 26'!BJ9</f>
        <v>0</v>
      </c>
      <c r="BM9" s="7">
        <f>'July 25'!BK9 + 'August 25'!BK9 +'Sept 25'!BK9 + 'Oct 25'!BK9 + 'Nov 25'!BK9+ 'Dec 25'!BK9 +'Jan 26'!BK9+'Feb 26'!BK9+'March 26'!BK9+'April 26'!BK9+'May 26'!BK9+'June 26'!BK9</f>
        <v>0</v>
      </c>
      <c r="BN9" s="7">
        <f>'July 25'!BL9 + 'August 25'!BL9 +'Sept 25'!BL9 + 'Oct 25'!BL9 + 'Nov 25'!BL9+ 'Dec 25'!BL9 +'Jan 26'!BL9+'Feb 26'!BL9+'March 26'!BL9+'April 26'!BL9+'May 26'!BL9+'June 26'!BL9</f>
        <v>0</v>
      </c>
      <c r="BO9" s="7">
        <f>'July 25'!BM9 + 'August 25'!BM9 +'Sept 25'!BM9 + 'Oct 25'!BM9 + 'Nov 25'!BM9+ 'Dec 25'!BM9 +'Jan 26'!BM9+'Feb 26'!BM9+'March 26'!BM9+'April 26'!BM9+'May 26'!BM9+'June 26'!BM9</f>
        <v>0</v>
      </c>
      <c r="BP9" s="7">
        <f>'July 25'!BN9 + 'August 25'!BN9 +'Sept 25'!BN9 + 'Oct 25'!BN9 + 'Nov 25'!BN9+ 'Dec 25'!BN9 +'Jan 26'!BN9+'Feb 26'!BN9+'March 26'!BN9+'April 26'!BN9+'May 26'!BN9+'June 26'!BN9</f>
        <v>0</v>
      </c>
      <c r="BQ9" s="7">
        <f>'July 25'!BO9 + 'August 25'!BO9 +'Sept 25'!BO9 + 'Oct 25'!BO9 + 'Nov 25'!BO9+ 'Dec 25'!BO9 +'Jan 26'!BO9+'Feb 26'!BO9+'March 26'!BO9+'April 26'!BO9+'May 26'!BO9+'June 26'!BO9</f>
        <v>0</v>
      </c>
      <c r="BR9" s="7">
        <f>'July 25'!BP9 + 'August 25'!BP9 +'Sept 25'!BP9 + 'Oct 25'!BP9 + 'Nov 25'!BP9+ 'Dec 25'!BP9 +'Jan 26'!BP9+'Feb 26'!BP9+'March 26'!BP9+'April 26'!BP9+'May 26'!BP9+'June 26'!BP9</f>
        <v>0</v>
      </c>
      <c r="BS9" s="7">
        <f>'July 25'!BQ9 + 'August 25'!BQ9 +'Sept 25'!BQ9 + 'Oct 25'!BQ9 + 'Nov 25'!BQ9+ 'Dec 25'!BQ9 +'Jan 26'!BQ9+'Feb 26'!BQ9+'March 26'!BQ9+'April 26'!BQ9+'May 26'!BQ9+'June 26'!BQ9</f>
        <v>0</v>
      </c>
      <c r="BT9" s="7">
        <f>'July 25'!BR9 + 'August 25'!BR9 +'Sept 25'!BR9 + 'Oct 25'!BR9 + 'Nov 25'!BR9+ 'Dec 25'!BR9 +'Jan 26'!BR9+'Feb 26'!BR9+'March 26'!BR9+'April 26'!BR9+'May 26'!BR9+'June 26'!BR9</f>
        <v>0</v>
      </c>
      <c r="BU9" s="7">
        <f>'July 25'!BS9 + 'August 25'!BS9 +'Sept 25'!BS9 + 'Oct 25'!BS9 + 'Nov 25'!BS9+ 'Dec 25'!BS9 +'Jan 26'!BS9+'Feb 26'!BS9+'March 26'!BS9+'April 26'!BS9+'May 26'!BS9+'June 26'!BS9</f>
        <v>0</v>
      </c>
      <c r="BV9" s="7">
        <f>'July 25'!BT9 + 'August 25'!BT9 +'Sept 25'!BT9 + 'Oct 25'!BT9 + 'Nov 25'!BT9+ 'Dec 25'!BT9 +'Jan 26'!BT9+'Feb 26'!BT9+'March 26'!BT9+'April 26'!BT9+'May 26'!BT9+'June 26'!BT9</f>
        <v>0</v>
      </c>
      <c r="BW9" s="7">
        <f>'July 25'!BU9 + 'August 25'!BU9 +'Sept 25'!BU9 + 'Oct 25'!BU9 + 'Nov 25'!BU9+ 'Dec 25'!BU9 +'Jan 26'!BU9+'Feb 26'!BU9+'March 26'!BU9+'April 26'!BU9+'May 26'!BU9+'June 26'!BU9</f>
        <v>0</v>
      </c>
      <c r="BX9" s="7">
        <f>'July 25'!BV9 + 'August 25'!BV9 +'Sept 25'!BV9 + 'Oct 25'!BV9 + 'Nov 25'!BV9+ 'Dec 25'!BV9 +'Jan 26'!BV9+'Feb 26'!BV9+'March 26'!BV9+'April 26'!BV9+'May 26'!BV9+'June 26'!BV9</f>
        <v>0</v>
      </c>
      <c r="BY9" s="7">
        <f>'July 25'!BW9 + 'August 25'!BW9 +'Sept 25'!BW9 + 'Oct 25'!BW9 + 'Nov 25'!BW9+ 'Dec 25'!BW9 +'Jan 26'!BW9+'Feb 26'!BW9+'March 26'!BW9+'April 26'!BW9+'May 26'!BW9+'June 26'!BW9</f>
        <v>253</v>
      </c>
      <c r="BZ9" s="7">
        <f>'July 25'!BX9 + 'August 25'!BX9 +'Sept 25'!BX9 + 'Oct 25'!BX9 + 'Nov 25'!BX9+ 'Dec 25'!BX9 +'Jan 26'!BX9+'Feb 26'!BX9+'March 26'!BX9+'April 26'!BX9+'May 26'!BX9+'June 26'!BX9</f>
        <v>0</v>
      </c>
      <c r="CA9" s="7">
        <f>'July 25'!BY9 + 'August 25'!BY9 +'Sept 25'!BY9 + 'Oct 25'!BY9 + 'Nov 25'!BY9+ 'Dec 25'!BY9 +'Jan 26'!BY9+'Feb 26'!BY9+'March 26'!BY9+'April 26'!BY9+'May 26'!BY9+'June 26'!BY9</f>
        <v>0</v>
      </c>
      <c r="CB9" s="7">
        <f>'July 25'!BZ9 + 'August 25'!BZ9 +'Sept 25'!BZ9 + 'Oct 25'!BZ9 + 'Nov 25'!BZ9+ 'Dec 25'!BZ9 +'Jan 26'!BZ9+'Feb 26'!BZ9+'March 26'!BZ9+'April 26'!BZ9+'May 26'!BZ9+'June 26'!BZ9</f>
        <v>0</v>
      </c>
      <c r="CC9" s="7">
        <f>'July 25'!CA9 + 'August 25'!CA9 +'Sept 25'!CA9 + 'Oct 25'!CA9 + 'Nov 25'!CA9+ 'Dec 25'!CA9 +'Jan 26'!CA9+'Feb 26'!CA9+'March 26'!CA9+'April 26'!CA9+'May 26'!CA9+'June 26'!CA9</f>
        <v>0</v>
      </c>
      <c r="CD9" s="7">
        <f>'July 25'!CB9 + 'August 25'!CB9 +'Sept 25'!CB9 + 'Oct 25'!CB9 + 'Nov 25'!CB9+ 'Dec 25'!CB9 +'Jan 26'!CB9+'Feb 26'!CB9+'March 26'!CB9+'April 26'!CB9+'May 26'!CB9+'June 26'!CB9</f>
        <v>0</v>
      </c>
      <c r="CE9" s="7">
        <f>'July 25'!CC9 + 'August 25'!CC9 +'Sept 25'!CC9 + 'Oct 25'!CC9 + 'Nov 25'!CC9+ 'Dec 25'!CC9 +'Jan 26'!CC9+'Feb 26'!CC9+'March 26'!CC9+'April 26'!CC9+'May 26'!CC9+'June 26'!CC9</f>
        <v>0</v>
      </c>
      <c r="CF9" s="8" cm="1">
        <f t="array" ref="CF9">SUMPRODUCT(--(UPPER($F$2:$CE$2)="NET NEW"),$F9:$CE9)</f>
        <v>222</v>
      </c>
      <c r="CG9" s="3">
        <f>SUMIF($F$2:$CE$2,"Enhance Existing",$F9:$CE9)</f>
        <v>0</v>
      </c>
      <c r="CH9" s="3">
        <f>SUMIF($F$2:$CE$2,"Maintenance",$F9:$CE9)</f>
        <v>1174</v>
      </c>
    </row>
    <row r="10" spans="1:86" ht="15.95">
      <c r="A10" s="7" t="s">
        <v>41</v>
      </c>
      <c r="B10" s="7" t="s">
        <v>43</v>
      </c>
      <c r="C10" s="7" t="s">
        <v>49</v>
      </c>
      <c r="D10" s="12"/>
      <c r="E10" s="7"/>
      <c r="F10" s="7">
        <f>'July 25'!D10 + 'August 25'!D10 +'Sept 25'!D10 + 'Oct 25'!D10 + 'Nov 25'!D10+ 'Dec 25'!D10 +'Jan 26'!D10+'Feb 26'!D10+'March 26'!D10+'April 26'!D10+'May 26'!D10+'June 26'!D10</f>
        <v>0</v>
      </c>
      <c r="G10" s="7">
        <f>'July 25'!E10 + 'August 25'!E10 +'Sept 25'!E10 + 'Oct 25'!E10 + 'Nov 25'!E10+ 'Dec 25'!E10 +'Jan 26'!E10+'Feb 26'!E10+'March 26'!E10+'April 26'!E10+'May 26'!E10+'June 26'!E10</f>
        <v>0</v>
      </c>
      <c r="H10" s="7">
        <f>'July 25'!F10 + 'August 25'!F10 +'Sept 25'!F10 + 'Oct 25'!F10 + 'Nov 25'!F10+ 'Dec 25'!F10 +'Jan 26'!F10+'Feb 26'!F10+'March 26'!F10+'April 26'!F10+'May 26'!F10+'June 26'!F10</f>
        <v>0</v>
      </c>
      <c r="I10" s="7">
        <f>'July 25'!G10 + 'August 25'!G10 +'Sept 25'!G10 + 'Oct 25'!G10 + 'Nov 25'!G10+ 'Dec 25'!G10 +'Jan 26'!G10+'Feb 26'!G10+'March 26'!G10+'April 26'!G10+'May 26'!G10+'June 26'!G10</f>
        <v>0</v>
      </c>
      <c r="J10" s="7">
        <f>'July 25'!H10 + 'August 25'!H10 +'Sept 25'!H10 + 'Oct 25'!H10 + 'Nov 25'!H10+ 'Dec 25'!H10 +'Jan 26'!H10+'Feb 26'!H10+'March 26'!H10+'April 26'!H10+'May 26'!H10+'June 26'!H10</f>
        <v>0</v>
      </c>
      <c r="K10" s="7">
        <f>'July 25'!I10 + 'August 25'!I10 +'Sept 25'!I10 + 'Oct 25'!I10 + 'Nov 25'!I10+ 'Dec 25'!I10 +'Jan 26'!I10+'Feb 26'!I10+'March 26'!I10+'April 26'!I10+'May 26'!I10+'June 26'!I10</f>
        <v>0</v>
      </c>
      <c r="L10" s="7">
        <f>'July 25'!J10 + 'August 25'!J10 +'Sept 25'!J10 + 'Oct 25'!J10 + 'Nov 25'!J10+ 'Dec 25'!J10 +'Jan 26'!J10+'Feb 26'!J10+'March 26'!J10+'April 26'!J10+'May 26'!J10+'June 26'!J10</f>
        <v>0</v>
      </c>
      <c r="M10" s="7">
        <f>'July 25'!K10 + 'August 25'!K10 +'Sept 25'!K10 + 'Oct 25'!K10 + 'Nov 25'!K10+ 'Dec 25'!K10 +'Jan 26'!K10+'Feb 26'!K10+'March 26'!K10+'April 26'!K10+'May 26'!K10+'June 26'!K10</f>
        <v>0</v>
      </c>
      <c r="N10" s="7">
        <f>'July 25'!L10 + 'August 25'!L10 +'Sept 25'!L10 + 'Oct 25'!L10 + 'Nov 25'!L10+ 'Dec 25'!L10 +'Jan 26'!L10+'Feb 26'!L10+'March 26'!L10+'April 26'!L10+'May 26'!L10+'June 26'!L10</f>
        <v>0</v>
      </c>
      <c r="O10" s="7">
        <f>'July 25'!M10 + 'August 25'!M10 +'Sept 25'!M10 + 'Oct 25'!M10 + 'Nov 25'!M10+ 'Dec 25'!M10 +'Jan 26'!M10+'Feb 26'!M10+'March 26'!M10+'April 26'!M10+'May 26'!M10+'June 26'!M10</f>
        <v>0</v>
      </c>
      <c r="P10" s="7">
        <f>'July 25'!N10 + 'August 25'!N10 +'Sept 25'!N10 + 'Oct 25'!N10 + 'Nov 25'!N10+ 'Dec 25'!N10 +'Jan 26'!N10+'Feb 26'!N10+'March 26'!N10+'April 26'!N10+'May 26'!N10+'June 26'!N10</f>
        <v>259</v>
      </c>
      <c r="Q10" s="7">
        <f>'July 25'!O10 + 'August 25'!O10 +'Sept 25'!O10 + 'Oct 25'!O10 + 'Nov 25'!O10+ 'Dec 25'!O10 +'Jan 26'!O10+'Feb 26'!O10+'March 26'!O10+'April 26'!O10+'May 26'!O10+'June 26'!O10</f>
        <v>240</v>
      </c>
      <c r="R10" s="7">
        <f>'July 25'!P10 + 'August 25'!P10 +'Sept 25'!P10 + 'Oct 25'!P10 + 'Nov 25'!P10+ 'Dec 25'!P10 +'Jan 26'!P10+'Feb 26'!P10+'March 26'!P10+'April 26'!P10+'May 26'!P10+'June 26'!P10</f>
        <v>0</v>
      </c>
      <c r="S10" s="7">
        <f>'July 25'!Q10 + 'August 25'!Q10 +'Sept 25'!Q10 + 'Oct 25'!Q10 + 'Nov 25'!Q10+ 'Dec 25'!Q10 +'Jan 26'!Q10+'Feb 26'!Q10+'March 26'!Q10+'April 26'!Q10+'May 26'!Q10+'June 26'!Q10</f>
        <v>0</v>
      </c>
      <c r="T10" s="7">
        <f>'July 25'!R10 + 'August 25'!R10 +'Sept 25'!R10 + 'Oct 25'!R10 + 'Nov 25'!R10+ 'Dec 25'!R10 +'Jan 26'!R10+'Feb 26'!R10+'March 26'!R10+'April 26'!R10+'May 26'!R10+'June 26'!R10</f>
        <v>89</v>
      </c>
      <c r="U10" s="7">
        <f>'July 25'!S10 + 'August 25'!S10 +'Sept 25'!S10 + 'Oct 25'!S10 + 'Nov 25'!S10+ 'Dec 25'!S10 +'Jan 26'!S10+'Feb 26'!S10+'March 26'!S10+'April 26'!S10+'May 26'!S10+'June 26'!S10</f>
        <v>0</v>
      </c>
      <c r="V10" s="7">
        <f>'July 25'!T10 + 'August 25'!T10 +'Sept 25'!T10 + 'Oct 25'!T10 + 'Nov 25'!T10+ 'Dec 25'!T10 +'Jan 26'!T10+'Feb 26'!T10+'March 26'!T10+'April 26'!T10+'May 26'!T10+'June 26'!T10</f>
        <v>0</v>
      </c>
      <c r="W10" s="7">
        <f>'July 25'!U10 + 'August 25'!U10 +'Sept 25'!U10 + 'Oct 25'!U10 + 'Nov 25'!U10+ 'Dec 25'!U10 +'Jan 26'!U10+'Feb 26'!U10+'March 26'!U10+'April 26'!U10+'May 26'!U10+'June 26'!U10</f>
        <v>0</v>
      </c>
      <c r="X10" s="7">
        <f>'July 25'!V10 + 'August 25'!V10 +'Sept 25'!V10 + 'Oct 25'!V10 + 'Nov 25'!V10+ 'Dec 25'!V10 +'Jan 26'!V10+'Feb 26'!V10+'March 26'!V10+'April 26'!V10+'May 26'!V10+'June 26'!V10</f>
        <v>0</v>
      </c>
      <c r="Y10" s="7">
        <f>'July 25'!W10 + 'August 25'!W10 +'Sept 25'!W10 + 'Oct 25'!W10 + 'Nov 25'!W10+ 'Dec 25'!W10 +'Jan 26'!W10+'Feb 26'!W10+'March 26'!W10+'April 26'!W10+'May 26'!W10+'June 26'!W10</f>
        <v>0</v>
      </c>
      <c r="Z10" s="7">
        <f>'July 25'!X10 + 'August 25'!X10 +'Sept 25'!X10 + 'Oct 25'!X10 + 'Nov 25'!X10+ 'Dec 25'!X10 +'Jan 26'!X10+'Feb 26'!X10+'March 26'!X10+'April 26'!X10+'May 26'!X10+'June 26'!X10</f>
        <v>0</v>
      </c>
      <c r="AA10" s="7">
        <f>'July 25'!Y10 + 'August 25'!Y10 +'Sept 25'!Y10 + 'Oct 25'!Y10 + 'Nov 25'!Y10+ 'Dec 25'!Y10 +'Jan 26'!Y10+'Feb 26'!Y10+'March 26'!Y10+'April 26'!Y10+'May 26'!Y10+'June 26'!Y10</f>
        <v>0</v>
      </c>
      <c r="AB10" s="7">
        <f>'July 25'!Z10 + 'August 25'!Z10 +'Sept 25'!Z10 + 'Oct 25'!Z10 + 'Nov 25'!Z10+ 'Dec 25'!Z10 +'Jan 26'!Z10+'Feb 26'!Z10+'March 26'!Z10+'April 26'!Z10+'May 26'!Z10+'June 26'!Z10</f>
        <v>0</v>
      </c>
      <c r="AC10" s="7">
        <f>'July 25'!AA10 + 'August 25'!AA10 +'Sept 25'!AA10 + 'Oct 25'!AA10 + 'Nov 25'!AA10+ 'Dec 25'!AA10 +'Jan 26'!AA10+'Feb 26'!AA10+'March 26'!AA10+'April 26'!AA10+'May 26'!AA10+'June 26'!AA10</f>
        <v>0</v>
      </c>
      <c r="AD10" s="7">
        <f>'July 25'!AB10 + 'August 25'!AB10 +'Sept 25'!AB10 + 'Oct 25'!AB10 + 'Nov 25'!AB10+ 'Dec 25'!AB10 +'Jan 26'!AB10+'Feb 26'!AB10+'March 26'!AB10+'April 26'!AB10+'May 26'!AB10+'June 26'!AB10</f>
        <v>0</v>
      </c>
      <c r="AE10" s="7">
        <f>'July 25'!AC10 + 'August 25'!AC10 +'Sept 25'!AC10 + 'Oct 25'!AC10 + 'Nov 25'!AC10+ 'Dec 25'!AC10 +'Jan 26'!AC10+'Feb 26'!AC10+'March 26'!AC10+'April 26'!AC10+'May 26'!AC10+'June 26'!AC10</f>
        <v>0</v>
      </c>
      <c r="AF10" s="7">
        <f>'July 25'!AD10 + 'August 25'!AD10 +'Sept 25'!AD10 + 'Oct 25'!AD10 + 'Nov 25'!AD10+ 'Dec 25'!AD10 +'Jan 26'!AD10+'Feb 26'!AD10+'March 26'!AD10+'April 26'!AD10+'May 26'!AD10+'June 26'!AD10</f>
        <v>32</v>
      </c>
      <c r="AG10" s="7">
        <f>'July 25'!AE10 + 'August 25'!AE10 +'Sept 25'!AE10 + 'Oct 25'!AE10 + 'Nov 25'!AE10+ 'Dec 25'!AE10 +'Jan 26'!AE10+'Feb 26'!AE10+'March 26'!AE10+'April 26'!AE10+'May 26'!AE10+'June 26'!AE10</f>
        <v>0</v>
      </c>
      <c r="AH10" s="7">
        <f>'July 25'!AF10 + 'August 25'!AF10 +'Sept 25'!AF10 + 'Oct 25'!AF10 + 'Nov 25'!AF10+ 'Dec 25'!AF10 +'Jan 26'!AF10+'Feb 26'!AF10+'March 26'!AF10+'April 26'!AF10+'May 26'!AF10+'June 26'!AF10</f>
        <v>0</v>
      </c>
      <c r="AI10" s="7">
        <f>'July 25'!AG10 + 'August 25'!AG10 +'Sept 25'!AG10 + 'Oct 25'!AG10 + 'Nov 25'!AG10+ 'Dec 25'!AG10 +'Jan 26'!AG10+'Feb 26'!AG10+'March 26'!AG10+'April 26'!AG10+'May 26'!AG10+'June 26'!AG10</f>
        <v>0</v>
      </c>
      <c r="AJ10" s="7">
        <f>'July 25'!AH10 + 'August 25'!AH10 +'Sept 25'!AH10 + 'Oct 25'!AH10 + 'Nov 25'!AH10+ 'Dec 25'!AH10 +'Jan 26'!AH10+'Feb 26'!AH10+'March 26'!AH10+'April 26'!AH10+'May 26'!AH10+'June 26'!AH10</f>
        <v>0</v>
      </c>
      <c r="AK10" s="7">
        <f>'July 25'!AI10 + 'August 25'!AI10 +'Sept 25'!AI10 + 'Oct 25'!AI10 + 'Nov 25'!AI10+ 'Dec 25'!AI10 +'Jan 26'!AI10+'Feb 26'!AI10+'March 26'!AI10+'April 26'!AI10+'May 26'!AI10+'June 26'!AI10</f>
        <v>0</v>
      </c>
      <c r="AL10" s="7">
        <f>'July 25'!AJ10 + 'August 25'!AJ10 +'Sept 25'!AJ10 + 'Oct 25'!AJ10 + 'Nov 25'!AJ10+ 'Dec 25'!AJ10 +'Jan 26'!AJ10+'Feb 26'!AJ10+'March 26'!AJ10+'April 26'!AJ10+'May 26'!AJ10+'June 26'!AJ10</f>
        <v>0</v>
      </c>
      <c r="AM10" s="7">
        <f>'July 25'!AK10 + 'August 25'!AK10 +'Sept 25'!AK10 + 'Oct 25'!AK10 + 'Nov 25'!AK10+ 'Dec 25'!AK10 +'Jan 26'!AK10+'Feb 26'!AK10+'March 26'!AK10+'April 26'!AK10+'May 26'!AK10+'June 26'!AK10</f>
        <v>0</v>
      </c>
      <c r="AN10" s="7">
        <f>'July 25'!AL10 + 'August 25'!AL10 +'Sept 25'!AL10 + 'Oct 25'!AL10 + 'Nov 25'!AL10+ 'Dec 25'!AL10 +'Jan 26'!AL10+'Feb 26'!AL10+'March 26'!AL10+'April 26'!AL10+'May 26'!AL10+'June 26'!AL10</f>
        <v>0</v>
      </c>
      <c r="AO10" s="7">
        <f>'July 25'!AM10 + 'August 25'!AM10 +'Sept 25'!AM10 + 'Oct 25'!AM10 + 'Nov 25'!AM10+ 'Dec 25'!AM10 +'Jan 26'!AM10+'Feb 26'!AM10+'March 26'!AM10+'April 26'!AM10+'May 26'!AM10+'June 26'!AM10</f>
        <v>0</v>
      </c>
      <c r="AP10" s="7">
        <f>'July 25'!AN10 + 'August 25'!AN10 +'Sept 25'!AN10 + 'Oct 25'!AN10 + 'Nov 25'!AN10+ 'Dec 25'!AN10 +'Jan 26'!AN10+'Feb 26'!AN10+'March 26'!AN10+'April 26'!AN10+'May 26'!AN10+'June 26'!AN10</f>
        <v>0</v>
      </c>
      <c r="AQ10" s="7">
        <f>'July 25'!AO10 + 'August 25'!AO10 +'Sept 25'!AO10 + 'Oct 25'!AO10 + 'Nov 25'!AO10+ 'Dec 25'!AO10 +'Jan 26'!AO10+'Feb 26'!AO10+'March 26'!AO10+'April 26'!AO10+'May 26'!AO10+'June 26'!AO10</f>
        <v>0</v>
      </c>
      <c r="AR10" s="7">
        <f>'July 25'!AP10 + 'August 25'!AP10 +'Sept 25'!AP10 + 'Oct 25'!AP10 + 'Nov 25'!AP10+ 'Dec 25'!AP10 +'Jan 26'!AP10+'Feb 26'!AP10+'March 26'!AP10+'April 26'!AP10+'May 26'!AP10+'June 26'!AP10</f>
        <v>0</v>
      </c>
      <c r="AS10" s="7">
        <f>'July 25'!AQ10 + 'August 25'!AQ10 +'Sept 25'!AQ10 + 'Oct 25'!AQ10 + 'Nov 25'!AQ10+ 'Dec 25'!AQ10 +'Jan 26'!AQ10+'Feb 26'!AQ10+'March 26'!AQ10+'April 26'!AQ10+'May 26'!AQ10+'June 26'!AQ10</f>
        <v>0</v>
      </c>
      <c r="AT10" s="7">
        <f>'July 25'!AR10 + 'August 25'!AR10 +'Sept 25'!AR10 + 'Oct 25'!AR10 + 'Nov 25'!AR10+ 'Dec 25'!AR10 +'Jan 26'!AR10+'Feb 26'!AR10+'March 26'!AR10+'April 26'!AR10+'May 26'!AR10+'June 26'!AR10</f>
        <v>0</v>
      </c>
      <c r="AU10" s="7">
        <f>'July 25'!AS10 + 'August 25'!AS10 +'Sept 25'!AS10 + 'Oct 25'!AS10 + 'Nov 25'!AS10+ 'Dec 25'!AS10 +'Jan 26'!AS10+'Feb 26'!AS10+'March 26'!AS10+'April 26'!AS10+'May 26'!AS10+'June 26'!AS10</f>
        <v>0</v>
      </c>
      <c r="AV10" s="7">
        <f>'July 25'!AT10 + 'August 25'!AT10 +'Sept 25'!AT10 + 'Oct 25'!AT10 + 'Nov 25'!AT10+ 'Dec 25'!AT10 +'Jan 26'!AT10+'Feb 26'!AT10+'March 26'!AT10+'April 26'!AT10+'May 26'!AT10+'June 26'!AT10</f>
        <v>0</v>
      </c>
      <c r="AW10" s="7">
        <f>'July 25'!AU10 + 'August 25'!AU10 +'Sept 25'!AU10 + 'Oct 25'!AU10 + 'Nov 25'!AU10+ 'Dec 25'!AU10 +'Jan 26'!AU10+'Feb 26'!AU10+'March 26'!AU10+'April 26'!AU10+'May 26'!AU10+'June 26'!AU10</f>
        <v>0</v>
      </c>
      <c r="AX10" s="7">
        <f>'July 25'!AV10 + 'August 25'!AV10 +'Sept 25'!AV10 + 'Oct 25'!AV10 + 'Nov 25'!AV10+ 'Dec 25'!AV10 +'Jan 26'!AV10+'Feb 26'!AV10+'March 26'!AV10+'April 26'!AV10+'May 26'!AV10+'June 26'!AV10</f>
        <v>0</v>
      </c>
      <c r="AY10" s="7">
        <f>'July 25'!AW10 + 'August 25'!AW10 +'Sept 25'!AW10 + 'Oct 25'!AW10 + 'Nov 25'!AW10+ 'Dec 25'!AW10 +'Jan 26'!AW10+'Feb 26'!AW10+'March 26'!AW10+'April 26'!AW10+'May 26'!AW10+'June 26'!AW10</f>
        <v>0</v>
      </c>
      <c r="AZ10" s="7">
        <f>'July 25'!AX10 + 'August 25'!AX10 +'Sept 25'!AX10 + 'Oct 25'!AX10 + 'Nov 25'!AX10+ 'Dec 25'!AX10 +'Jan 26'!AX10+'Feb 26'!AX10+'March 26'!AX10+'April 26'!AX10+'May 26'!AX10+'June 26'!AX10</f>
        <v>0</v>
      </c>
      <c r="BA10" s="7">
        <f>'July 25'!AY10 + 'August 25'!AY10 +'Sept 25'!AY10 + 'Oct 25'!AY10 + 'Nov 25'!AY10+ 'Dec 25'!AY10 +'Jan 26'!AY10+'Feb 26'!AY10+'March 26'!AY10+'April 26'!AY10+'May 26'!AY10+'June 26'!AY10</f>
        <v>0</v>
      </c>
      <c r="BB10" s="7">
        <f>'July 25'!AZ10 + 'August 25'!AZ10 +'Sept 25'!AZ10 + 'Oct 25'!AZ10 + 'Nov 25'!AZ10+ 'Dec 25'!AZ10 +'Jan 26'!AZ10+'Feb 26'!AZ10+'March 26'!AZ10+'April 26'!AZ10+'May 26'!AZ10+'June 26'!AZ10</f>
        <v>0</v>
      </c>
      <c r="BC10" s="7">
        <f>'July 25'!BA10 + 'August 25'!BA10 +'Sept 25'!BA10 + 'Oct 25'!BA10 + 'Nov 25'!BA10+ 'Dec 25'!BA10 +'Jan 26'!BA10+'Feb 26'!BA10+'March 26'!BA10+'April 26'!BA10+'May 26'!BA10+'June 26'!BA10</f>
        <v>0</v>
      </c>
      <c r="BD10" s="7">
        <f>'July 25'!BB10 + 'August 25'!BB10 +'Sept 25'!BB10 + 'Oct 25'!BB10 + 'Nov 25'!BB10+ 'Dec 25'!BB10 +'Jan 26'!BB10+'Feb 26'!BB10+'March 26'!BB10+'April 26'!BB10+'May 26'!BB10+'June 26'!BB10</f>
        <v>0</v>
      </c>
      <c r="BE10" s="7">
        <f>'July 25'!BC10 + 'August 25'!BC10 +'Sept 25'!BC10 + 'Oct 25'!BC10 + 'Nov 25'!BC10+ 'Dec 25'!BC10 +'Jan 26'!BC10+'Feb 26'!BC10+'March 26'!BC10+'April 26'!BC10+'May 26'!BC10+'June 26'!BC10</f>
        <v>0</v>
      </c>
      <c r="BF10" s="7">
        <f>'July 25'!BD10 + 'August 25'!BD10 +'Sept 25'!BD10 + 'Oct 25'!BD10 + 'Nov 25'!BD10+ 'Dec 25'!BD10 +'Jan 26'!BD10+'Feb 26'!BD10+'March 26'!BD10+'April 26'!BD10+'May 26'!BD10+'June 26'!BD10</f>
        <v>0</v>
      </c>
      <c r="BG10" s="7">
        <f>'July 25'!BE10 + 'August 25'!BE10 +'Sept 25'!BE10 + 'Oct 25'!BE10 + 'Nov 25'!BE10+ 'Dec 25'!BE10 +'Jan 26'!BE10+'Feb 26'!BE10+'March 26'!BE10+'April 26'!BE10+'May 26'!BE10+'June 26'!BE10</f>
        <v>0</v>
      </c>
      <c r="BH10" s="7">
        <f>'July 25'!BF10 + 'August 25'!BF10 +'Sept 25'!BF10 + 'Oct 25'!BF10 + 'Nov 25'!BF10+ 'Dec 25'!BF10 +'Jan 26'!BF10+'Feb 26'!BF10+'March 26'!BF10+'April 26'!BF10+'May 26'!BF10+'June 26'!BF10</f>
        <v>0</v>
      </c>
      <c r="BI10" s="7">
        <f>'July 25'!BG10 + 'August 25'!BG10 +'Sept 25'!BG10 + 'Oct 25'!BG10 + 'Nov 25'!BG10+ 'Dec 25'!BG10 +'Jan 26'!BG10+'Feb 26'!BG10+'March 26'!BG10+'April 26'!BG10+'May 26'!BG10+'June 26'!BG10</f>
        <v>0</v>
      </c>
      <c r="BJ10" s="7">
        <f>'July 25'!BH10 + 'August 25'!BH10 +'Sept 25'!BH10 + 'Oct 25'!BH10 + 'Nov 25'!BH10+ 'Dec 25'!BH10 +'Jan 26'!BH10+'Feb 26'!BH10+'March 26'!BH10+'April 26'!BH10+'May 26'!BH10+'June 26'!BH10</f>
        <v>0</v>
      </c>
      <c r="BK10" s="7">
        <f>'July 25'!BI10 + 'August 25'!BI10 +'Sept 25'!BI10 + 'Oct 25'!BI10 + 'Nov 25'!BI10+ 'Dec 25'!BI10 +'Jan 26'!BI10+'Feb 26'!BI10+'March 26'!BI10+'April 26'!BI10+'May 26'!BI10+'June 26'!BI10</f>
        <v>0</v>
      </c>
      <c r="BL10" s="7">
        <f>'July 25'!BJ10 + 'August 25'!BJ10 +'Sept 25'!BJ10 + 'Oct 25'!BJ10 + 'Nov 25'!BJ10+ 'Dec 25'!BJ10 +'Jan 26'!BJ10+'Feb 26'!BJ10+'March 26'!BJ10+'April 26'!BJ10+'May 26'!BJ10+'June 26'!BJ10</f>
        <v>0</v>
      </c>
      <c r="BM10" s="7">
        <f>'July 25'!BK10 + 'August 25'!BK10 +'Sept 25'!BK10 + 'Oct 25'!BK10 + 'Nov 25'!BK10+ 'Dec 25'!BK10 +'Jan 26'!BK10+'Feb 26'!BK10+'March 26'!BK10+'April 26'!BK10+'May 26'!BK10+'June 26'!BK10</f>
        <v>0</v>
      </c>
      <c r="BN10" s="7">
        <f>'July 25'!BL10 + 'August 25'!BL10 +'Sept 25'!BL10 + 'Oct 25'!BL10 + 'Nov 25'!BL10+ 'Dec 25'!BL10 +'Jan 26'!BL10+'Feb 26'!BL10+'March 26'!BL10+'April 26'!BL10+'May 26'!BL10+'June 26'!BL10</f>
        <v>0</v>
      </c>
      <c r="BO10" s="7">
        <f>'July 25'!BM10 + 'August 25'!BM10 +'Sept 25'!BM10 + 'Oct 25'!BM10 + 'Nov 25'!BM10+ 'Dec 25'!BM10 +'Jan 26'!BM10+'Feb 26'!BM10+'March 26'!BM10+'April 26'!BM10+'May 26'!BM10+'June 26'!BM10</f>
        <v>0</v>
      </c>
      <c r="BP10" s="7">
        <f>'July 25'!BN10 + 'August 25'!BN10 +'Sept 25'!BN10 + 'Oct 25'!BN10 + 'Nov 25'!BN10+ 'Dec 25'!BN10 +'Jan 26'!BN10+'Feb 26'!BN10+'March 26'!BN10+'April 26'!BN10+'May 26'!BN10+'June 26'!BN10</f>
        <v>0</v>
      </c>
      <c r="BQ10" s="7">
        <f>'July 25'!BO10 + 'August 25'!BO10 +'Sept 25'!BO10 + 'Oct 25'!BO10 + 'Nov 25'!BO10+ 'Dec 25'!BO10 +'Jan 26'!BO10+'Feb 26'!BO10+'March 26'!BO10+'April 26'!BO10+'May 26'!BO10+'June 26'!BO10</f>
        <v>0</v>
      </c>
      <c r="BR10" s="7">
        <f>'July 25'!BP10 + 'August 25'!BP10 +'Sept 25'!BP10 + 'Oct 25'!BP10 + 'Nov 25'!BP10+ 'Dec 25'!BP10 +'Jan 26'!BP10+'Feb 26'!BP10+'March 26'!BP10+'April 26'!BP10+'May 26'!BP10+'June 26'!BP10</f>
        <v>0</v>
      </c>
      <c r="BS10" s="7">
        <f>'July 25'!BQ10 + 'August 25'!BQ10 +'Sept 25'!BQ10 + 'Oct 25'!BQ10 + 'Nov 25'!BQ10+ 'Dec 25'!BQ10 +'Jan 26'!BQ10+'Feb 26'!BQ10+'March 26'!BQ10+'April 26'!BQ10+'May 26'!BQ10+'June 26'!BQ10</f>
        <v>0</v>
      </c>
      <c r="BT10" s="7">
        <f>'July 25'!BR10 + 'August 25'!BR10 +'Sept 25'!BR10 + 'Oct 25'!BR10 + 'Nov 25'!BR10+ 'Dec 25'!BR10 +'Jan 26'!BR10+'Feb 26'!BR10+'March 26'!BR10+'April 26'!BR10+'May 26'!BR10+'June 26'!BR10</f>
        <v>0</v>
      </c>
      <c r="BU10" s="7">
        <f>'July 25'!BS10 + 'August 25'!BS10 +'Sept 25'!BS10 + 'Oct 25'!BS10 + 'Nov 25'!BS10+ 'Dec 25'!BS10 +'Jan 26'!BS10+'Feb 26'!BS10+'March 26'!BS10+'April 26'!BS10+'May 26'!BS10+'June 26'!BS10</f>
        <v>0</v>
      </c>
      <c r="BV10" s="7">
        <f>'July 25'!BT10 + 'August 25'!BT10 +'Sept 25'!BT10 + 'Oct 25'!BT10 + 'Nov 25'!BT10+ 'Dec 25'!BT10 +'Jan 26'!BT10+'Feb 26'!BT10+'March 26'!BT10+'April 26'!BT10+'May 26'!BT10+'June 26'!BT10</f>
        <v>0</v>
      </c>
      <c r="BW10" s="7">
        <f>'July 25'!BU10 + 'August 25'!BU10 +'Sept 25'!BU10 + 'Oct 25'!BU10 + 'Nov 25'!BU10+ 'Dec 25'!BU10 +'Jan 26'!BU10+'Feb 26'!BU10+'March 26'!BU10+'April 26'!BU10+'May 26'!BU10+'June 26'!BU10</f>
        <v>0</v>
      </c>
      <c r="BX10" s="7">
        <f>'July 25'!BV10 + 'August 25'!BV10 +'Sept 25'!BV10 + 'Oct 25'!BV10 + 'Nov 25'!BV10+ 'Dec 25'!BV10 +'Jan 26'!BV10+'Feb 26'!BV10+'March 26'!BV10+'April 26'!BV10+'May 26'!BV10+'June 26'!BV10</f>
        <v>0</v>
      </c>
      <c r="BY10" s="7">
        <f>'July 25'!BW10 + 'August 25'!BW10 +'Sept 25'!BW10 + 'Oct 25'!BW10 + 'Nov 25'!BW10+ 'Dec 25'!BW10 +'Jan 26'!BW10+'Feb 26'!BW10+'March 26'!BW10+'April 26'!BW10+'May 26'!BW10+'June 26'!BW10</f>
        <v>441</v>
      </c>
      <c r="BZ10" s="7">
        <f>'July 25'!BX10 + 'August 25'!BX10 +'Sept 25'!BX10 + 'Oct 25'!BX10 + 'Nov 25'!BX10+ 'Dec 25'!BX10 +'Jan 26'!BX10+'Feb 26'!BX10+'March 26'!BX10+'April 26'!BX10+'May 26'!BX10+'June 26'!BX10</f>
        <v>0</v>
      </c>
      <c r="CA10" s="7">
        <f>'July 25'!BY10 + 'August 25'!BY10 +'Sept 25'!BY10 + 'Oct 25'!BY10 + 'Nov 25'!BY10+ 'Dec 25'!BY10 +'Jan 26'!BY10+'Feb 26'!BY10+'March 26'!BY10+'April 26'!BY10+'May 26'!BY10+'June 26'!BY10</f>
        <v>0</v>
      </c>
      <c r="CB10" s="7">
        <f>'July 25'!BZ10 + 'August 25'!BZ10 +'Sept 25'!BZ10 + 'Oct 25'!BZ10 + 'Nov 25'!BZ10+ 'Dec 25'!BZ10 +'Jan 26'!BZ10+'Feb 26'!BZ10+'March 26'!BZ10+'April 26'!BZ10+'May 26'!BZ10+'June 26'!BZ10</f>
        <v>284</v>
      </c>
      <c r="CC10" s="7">
        <f>'July 25'!CA10 + 'August 25'!CA10 +'Sept 25'!CA10 + 'Oct 25'!CA10 + 'Nov 25'!CA10+ 'Dec 25'!CA10 +'Jan 26'!CA10+'Feb 26'!CA10+'March 26'!CA10+'April 26'!CA10+'May 26'!CA10+'June 26'!CA10</f>
        <v>0</v>
      </c>
      <c r="CD10" s="7">
        <f>'July 25'!CB10 + 'August 25'!CB10 +'Sept 25'!CB10 + 'Oct 25'!CB10 + 'Nov 25'!CB10+ 'Dec 25'!CB10 +'Jan 26'!CB10+'Feb 26'!CB10+'March 26'!CB10+'April 26'!CB10+'May 26'!CB10+'June 26'!CB10</f>
        <v>0</v>
      </c>
      <c r="CE10" s="7">
        <f>'July 25'!CC10 + 'August 25'!CC10 +'Sept 25'!CC10 + 'Oct 25'!CC10 + 'Nov 25'!CC10+ 'Dec 25'!CC10 +'Jan 26'!CC10+'Feb 26'!CC10+'March 26'!CC10+'April 26'!CC10+'May 26'!CC10+'June 26'!CC10</f>
        <v>68</v>
      </c>
      <c r="CF10" s="8" cm="1">
        <f t="array" ref="CF10">SUMPRODUCT(--(UPPER($F$2:$CE$2)="NET NEW"),$F10:$CE10)</f>
        <v>0</v>
      </c>
      <c r="CG10" s="3">
        <f>SUMIF($F$2:$CE$2,"Enhance Existing",$F10:$CE10)</f>
        <v>259</v>
      </c>
      <c r="CH10" s="3">
        <f>SUMIF($F$2:$CE$2,"Maintenance",$F10:$CE10)</f>
        <v>1154</v>
      </c>
    </row>
    <row r="11" spans="1:86" ht="15.95">
      <c r="A11" s="7" t="s">
        <v>38</v>
      </c>
      <c r="B11" s="7" t="s">
        <v>43</v>
      </c>
      <c r="C11" s="7" t="s">
        <v>50</v>
      </c>
      <c r="D11" s="12"/>
      <c r="E11" s="7"/>
      <c r="F11" s="7">
        <f>'July 25'!D11 + 'August 25'!D11 +'Sept 25'!D11 + 'Oct 25'!D11 + 'Nov 25'!D11+ 'Dec 25'!D11 +'Jan 26'!D11+'Feb 26'!D11+'March 26'!D11+'April 26'!D11+'May 26'!D11+'June 26'!D11</f>
        <v>0</v>
      </c>
      <c r="G11" s="7">
        <f>'July 25'!E11 + 'August 25'!E11 +'Sept 25'!E11 + 'Oct 25'!E11 + 'Nov 25'!E11+ 'Dec 25'!E11 +'Jan 26'!E11+'Feb 26'!E11+'March 26'!E11+'April 26'!E11+'May 26'!E11+'June 26'!E11</f>
        <v>0</v>
      </c>
      <c r="H11" s="7">
        <f>'July 25'!F11 + 'August 25'!F11 +'Sept 25'!F11 + 'Oct 25'!F11 + 'Nov 25'!F11+ 'Dec 25'!F11 +'Jan 26'!F11+'Feb 26'!F11+'March 26'!F11+'April 26'!F11+'May 26'!F11+'June 26'!F11</f>
        <v>0</v>
      </c>
      <c r="I11" s="7">
        <f>'July 25'!G11 + 'August 25'!G11 +'Sept 25'!G11 + 'Oct 25'!G11 + 'Nov 25'!G11+ 'Dec 25'!G11 +'Jan 26'!G11+'Feb 26'!G11+'March 26'!G11+'April 26'!G11+'May 26'!G11+'June 26'!G11</f>
        <v>0</v>
      </c>
      <c r="J11" s="7">
        <f>'July 25'!H11 + 'August 25'!H11 +'Sept 25'!H11 + 'Oct 25'!H11 + 'Nov 25'!H11+ 'Dec 25'!H11 +'Jan 26'!H11+'Feb 26'!H11+'March 26'!H11+'April 26'!H11+'May 26'!H11+'June 26'!H11</f>
        <v>0</v>
      </c>
      <c r="K11" s="7">
        <f>'July 25'!I11 + 'August 25'!I11 +'Sept 25'!I11 + 'Oct 25'!I11 + 'Nov 25'!I11+ 'Dec 25'!I11 +'Jan 26'!I11+'Feb 26'!I11+'March 26'!I11+'April 26'!I11+'May 26'!I11+'June 26'!I11</f>
        <v>0</v>
      </c>
      <c r="L11" s="7">
        <f>'July 25'!J11 + 'August 25'!J11 +'Sept 25'!J11 + 'Oct 25'!J11 + 'Nov 25'!J11+ 'Dec 25'!J11 +'Jan 26'!J11+'Feb 26'!J11+'March 26'!J11+'April 26'!J11+'May 26'!J11+'June 26'!J11</f>
        <v>0</v>
      </c>
      <c r="M11" s="7">
        <f>'July 25'!K11 + 'August 25'!K11 +'Sept 25'!K11 + 'Oct 25'!K11 + 'Nov 25'!K11+ 'Dec 25'!K11 +'Jan 26'!K11+'Feb 26'!K11+'March 26'!K11+'April 26'!K11+'May 26'!K11+'June 26'!K11</f>
        <v>0</v>
      </c>
      <c r="N11" s="7">
        <f>'July 25'!L11 + 'August 25'!L11 +'Sept 25'!L11 + 'Oct 25'!L11 + 'Nov 25'!L11+ 'Dec 25'!L11 +'Jan 26'!L11+'Feb 26'!L11+'March 26'!L11+'April 26'!L11+'May 26'!L11+'June 26'!L11</f>
        <v>0</v>
      </c>
      <c r="O11" s="7">
        <f>'July 25'!M11 + 'August 25'!M11 +'Sept 25'!M11 + 'Oct 25'!M11 + 'Nov 25'!M11+ 'Dec 25'!M11 +'Jan 26'!M11+'Feb 26'!M11+'March 26'!M11+'April 26'!M11+'May 26'!M11+'June 26'!M11</f>
        <v>0</v>
      </c>
      <c r="P11" s="7">
        <f>'July 25'!N11 + 'August 25'!N11 +'Sept 25'!N11 + 'Oct 25'!N11 + 'Nov 25'!N11+ 'Dec 25'!N11 +'Jan 26'!N11+'Feb 26'!N11+'March 26'!N11+'April 26'!N11+'May 26'!N11+'June 26'!N11</f>
        <v>0</v>
      </c>
      <c r="Q11" s="7">
        <f>'July 25'!O11 + 'August 25'!O11 +'Sept 25'!O11 + 'Oct 25'!O11 + 'Nov 25'!O11+ 'Dec 25'!O11 +'Jan 26'!O11+'Feb 26'!O11+'March 26'!O11+'April 26'!O11+'May 26'!O11+'June 26'!O11</f>
        <v>0</v>
      </c>
      <c r="R11" s="7">
        <f>'July 25'!P11 + 'August 25'!P11 +'Sept 25'!P11 + 'Oct 25'!P11 + 'Nov 25'!P11+ 'Dec 25'!P11 +'Jan 26'!P11+'Feb 26'!P11+'March 26'!P11+'April 26'!P11+'May 26'!P11+'June 26'!P11</f>
        <v>0</v>
      </c>
      <c r="S11" s="7">
        <f>'July 25'!Q11 + 'August 25'!Q11 +'Sept 25'!Q11 + 'Oct 25'!Q11 + 'Nov 25'!Q11+ 'Dec 25'!Q11 +'Jan 26'!Q11+'Feb 26'!Q11+'March 26'!Q11+'April 26'!Q11+'May 26'!Q11+'June 26'!Q11</f>
        <v>0</v>
      </c>
      <c r="T11" s="7">
        <f>'July 25'!R11 + 'August 25'!R11 +'Sept 25'!R11 + 'Oct 25'!R11 + 'Nov 25'!R11+ 'Dec 25'!R11 +'Jan 26'!R11+'Feb 26'!R11+'March 26'!R11+'April 26'!R11+'May 26'!R11+'June 26'!R11</f>
        <v>0</v>
      </c>
      <c r="U11" s="7">
        <f>'July 25'!S11 + 'August 25'!S11 +'Sept 25'!S11 + 'Oct 25'!S11 + 'Nov 25'!S11+ 'Dec 25'!S11 +'Jan 26'!S11+'Feb 26'!S11+'March 26'!S11+'April 26'!S11+'May 26'!S11+'June 26'!S11</f>
        <v>0</v>
      </c>
      <c r="V11" s="7">
        <f>'July 25'!T11 + 'August 25'!T11 +'Sept 25'!T11 + 'Oct 25'!T11 + 'Nov 25'!T11+ 'Dec 25'!T11 +'Jan 26'!T11+'Feb 26'!T11+'March 26'!T11+'April 26'!T11+'May 26'!T11+'June 26'!T11</f>
        <v>0</v>
      </c>
      <c r="W11" s="7">
        <f>'July 25'!U11 + 'August 25'!U11 +'Sept 25'!U11 + 'Oct 25'!U11 + 'Nov 25'!U11+ 'Dec 25'!U11 +'Jan 26'!U11+'Feb 26'!U11+'March 26'!U11+'April 26'!U11+'May 26'!U11+'June 26'!U11</f>
        <v>0</v>
      </c>
      <c r="X11" s="7">
        <f>'July 25'!V11 + 'August 25'!V11 +'Sept 25'!V11 + 'Oct 25'!V11 + 'Nov 25'!V11+ 'Dec 25'!V11 +'Jan 26'!V11+'Feb 26'!V11+'March 26'!V11+'April 26'!V11+'May 26'!V11+'June 26'!V11</f>
        <v>0</v>
      </c>
      <c r="Y11" s="7">
        <f>'July 25'!W11 + 'August 25'!W11 +'Sept 25'!W11 + 'Oct 25'!W11 + 'Nov 25'!W11+ 'Dec 25'!W11 +'Jan 26'!W11+'Feb 26'!W11+'March 26'!W11+'April 26'!W11+'May 26'!W11+'June 26'!W11</f>
        <v>0</v>
      </c>
      <c r="Z11" s="7">
        <f>'July 25'!X11 + 'August 25'!X11 +'Sept 25'!X11 + 'Oct 25'!X11 + 'Nov 25'!X11+ 'Dec 25'!X11 +'Jan 26'!X11+'Feb 26'!X11+'March 26'!X11+'April 26'!X11+'May 26'!X11+'June 26'!X11</f>
        <v>0</v>
      </c>
      <c r="AA11" s="7">
        <f>'July 25'!Y11 + 'August 25'!Y11 +'Sept 25'!Y11 + 'Oct 25'!Y11 + 'Nov 25'!Y11+ 'Dec 25'!Y11 +'Jan 26'!Y11+'Feb 26'!Y11+'March 26'!Y11+'April 26'!Y11+'May 26'!Y11+'June 26'!Y11</f>
        <v>0</v>
      </c>
      <c r="AB11" s="7">
        <f>'July 25'!Z11 + 'August 25'!Z11 +'Sept 25'!Z11 + 'Oct 25'!Z11 + 'Nov 25'!Z11+ 'Dec 25'!Z11 +'Jan 26'!Z11+'Feb 26'!Z11+'March 26'!Z11+'April 26'!Z11+'May 26'!Z11+'June 26'!Z11</f>
        <v>0</v>
      </c>
      <c r="AC11" s="7">
        <f>'July 25'!AA11 + 'August 25'!AA11 +'Sept 25'!AA11 + 'Oct 25'!AA11 + 'Nov 25'!AA11+ 'Dec 25'!AA11 +'Jan 26'!AA11+'Feb 26'!AA11+'March 26'!AA11+'April 26'!AA11+'May 26'!AA11+'June 26'!AA11</f>
        <v>0</v>
      </c>
      <c r="AD11" s="7">
        <f>'July 25'!AB11 + 'August 25'!AB11 +'Sept 25'!AB11 + 'Oct 25'!AB11 + 'Nov 25'!AB11+ 'Dec 25'!AB11 +'Jan 26'!AB11+'Feb 26'!AB11+'March 26'!AB11+'April 26'!AB11+'May 26'!AB11+'June 26'!AB11</f>
        <v>0</v>
      </c>
      <c r="AE11" s="7">
        <f>'July 25'!AC11 + 'August 25'!AC11 +'Sept 25'!AC11 + 'Oct 25'!AC11 + 'Nov 25'!AC11+ 'Dec 25'!AC11 +'Jan 26'!AC11+'Feb 26'!AC11+'March 26'!AC11+'April 26'!AC11+'May 26'!AC11+'June 26'!AC11</f>
        <v>0</v>
      </c>
      <c r="AF11" s="7">
        <f>'July 25'!AD11 + 'August 25'!AD11 +'Sept 25'!AD11 + 'Oct 25'!AD11 + 'Nov 25'!AD11+ 'Dec 25'!AD11 +'Jan 26'!AD11+'Feb 26'!AD11+'March 26'!AD11+'April 26'!AD11+'May 26'!AD11+'June 26'!AD11</f>
        <v>0</v>
      </c>
      <c r="AG11" s="7">
        <f>'July 25'!AE11 + 'August 25'!AE11 +'Sept 25'!AE11 + 'Oct 25'!AE11 + 'Nov 25'!AE11+ 'Dec 25'!AE11 +'Jan 26'!AE11+'Feb 26'!AE11+'March 26'!AE11+'April 26'!AE11+'May 26'!AE11+'June 26'!AE11</f>
        <v>0</v>
      </c>
      <c r="AH11" s="7">
        <f>'July 25'!AF11 + 'August 25'!AF11 +'Sept 25'!AF11 + 'Oct 25'!AF11 + 'Nov 25'!AF11+ 'Dec 25'!AF11 +'Jan 26'!AF11+'Feb 26'!AF11+'March 26'!AF11+'April 26'!AF11+'May 26'!AF11+'June 26'!AF11</f>
        <v>0</v>
      </c>
      <c r="AI11" s="7">
        <f>'July 25'!AG11 + 'August 25'!AG11 +'Sept 25'!AG11 + 'Oct 25'!AG11 + 'Nov 25'!AG11+ 'Dec 25'!AG11 +'Jan 26'!AG11+'Feb 26'!AG11+'March 26'!AG11+'April 26'!AG11+'May 26'!AG11+'June 26'!AG11</f>
        <v>0</v>
      </c>
      <c r="AJ11" s="7">
        <f>'July 25'!AH11 + 'August 25'!AH11 +'Sept 25'!AH11 + 'Oct 25'!AH11 + 'Nov 25'!AH11+ 'Dec 25'!AH11 +'Jan 26'!AH11+'Feb 26'!AH11+'March 26'!AH11+'April 26'!AH11+'May 26'!AH11+'June 26'!AH11</f>
        <v>0</v>
      </c>
      <c r="AK11" s="7">
        <f>'July 25'!AI11 + 'August 25'!AI11 +'Sept 25'!AI11 + 'Oct 25'!AI11 + 'Nov 25'!AI11+ 'Dec 25'!AI11 +'Jan 26'!AI11+'Feb 26'!AI11+'March 26'!AI11+'April 26'!AI11+'May 26'!AI11+'June 26'!AI11</f>
        <v>0</v>
      </c>
      <c r="AL11" s="7">
        <f>'July 25'!AJ11 + 'August 25'!AJ11 +'Sept 25'!AJ11 + 'Oct 25'!AJ11 + 'Nov 25'!AJ11+ 'Dec 25'!AJ11 +'Jan 26'!AJ11+'Feb 26'!AJ11+'March 26'!AJ11+'April 26'!AJ11+'May 26'!AJ11+'June 26'!AJ11</f>
        <v>0</v>
      </c>
      <c r="AM11" s="7">
        <f>'July 25'!AK11 + 'August 25'!AK11 +'Sept 25'!AK11 + 'Oct 25'!AK11 + 'Nov 25'!AK11+ 'Dec 25'!AK11 +'Jan 26'!AK11+'Feb 26'!AK11+'March 26'!AK11+'April 26'!AK11+'May 26'!AK11+'June 26'!AK11</f>
        <v>0</v>
      </c>
      <c r="AN11" s="7">
        <f>'July 25'!AL11 + 'August 25'!AL11 +'Sept 25'!AL11 + 'Oct 25'!AL11 + 'Nov 25'!AL11+ 'Dec 25'!AL11 +'Jan 26'!AL11+'Feb 26'!AL11+'March 26'!AL11+'April 26'!AL11+'May 26'!AL11+'June 26'!AL11</f>
        <v>0</v>
      </c>
      <c r="AO11" s="7">
        <f>'July 25'!AM11 + 'August 25'!AM11 +'Sept 25'!AM11 + 'Oct 25'!AM11 + 'Nov 25'!AM11+ 'Dec 25'!AM11 +'Jan 26'!AM11+'Feb 26'!AM11+'March 26'!AM11+'April 26'!AM11+'May 26'!AM11+'June 26'!AM11</f>
        <v>0</v>
      </c>
      <c r="AP11" s="7">
        <f>'July 25'!AN11 + 'August 25'!AN11 +'Sept 25'!AN11 + 'Oct 25'!AN11 + 'Nov 25'!AN11+ 'Dec 25'!AN11 +'Jan 26'!AN11+'Feb 26'!AN11+'March 26'!AN11+'April 26'!AN11+'May 26'!AN11+'June 26'!AN11</f>
        <v>0</v>
      </c>
      <c r="AQ11" s="7">
        <f>'July 25'!AO11 + 'August 25'!AO11 +'Sept 25'!AO11 + 'Oct 25'!AO11 + 'Nov 25'!AO11+ 'Dec 25'!AO11 +'Jan 26'!AO11+'Feb 26'!AO11+'March 26'!AO11+'April 26'!AO11+'May 26'!AO11+'June 26'!AO11</f>
        <v>0</v>
      </c>
      <c r="AR11" s="7">
        <f>'July 25'!AP11 + 'August 25'!AP11 +'Sept 25'!AP11 + 'Oct 25'!AP11 + 'Nov 25'!AP11+ 'Dec 25'!AP11 +'Jan 26'!AP11+'Feb 26'!AP11+'March 26'!AP11+'April 26'!AP11+'May 26'!AP11+'June 26'!AP11</f>
        <v>0</v>
      </c>
      <c r="AS11" s="7">
        <f>'July 25'!AQ11 + 'August 25'!AQ11 +'Sept 25'!AQ11 + 'Oct 25'!AQ11 + 'Nov 25'!AQ11+ 'Dec 25'!AQ11 +'Jan 26'!AQ11+'Feb 26'!AQ11+'March 26'!AQ11+'April 26'!AQ11+'May 26'!AQ11+'June 26'!AQ11</f>
        <v>0</v>
      </c>
      <c r="AT11" s="7">
        <f>'July 25'!AR11 + 'August 25'!AR11 +'Sept 25'!AR11 + 'Oct 25'!AR11 + 'Nov 25'!AR11+ 'Dec 25'!AR11 +'Jan 26'!AR11+'Feb 26'!AR11+'March 26'!AR11+'April 26'!AR11+'May 26'!AR11+'June 26'!AR11</f>
        <v>0</v>
      </c>
      <c r="AU11" s="7">
        <f>'July 25'!AS11 + 'August 25'!AS11 +'Sept 25'!AS11 + 'Oct 25'!AS11 + 'Nov 25'!AS11+ 'Dec 25'!AS11 +'Jan 26'!AS11+'Feb 26'!AS11+'March 26'!AS11+'April 26'!AS11+'May 26'!AS11+'June 26'!AS11</f>
        <v>0</v>
      </c>
      <c r="AV11" s="7">
        <f>'July 25'!AT11 + 'August 25'!AT11 +'Sept 25'!AT11 + 'Oct 25'!AT11 + 'Nov 25'!AT11+ 'Dec 25'!AT11 +'Jan 26'!AT11+'Feb 26'!AT11+'March 26'!AT11+'April 26'!AT11+'May 26'!AT11+'June 26'!AT11</f>
        <v>0</v>
      </c>
      <c r="AW11" s="7">
        <f>'July 25'!AU11 + 'August 25'!AU11 +'Sept 25'!AU11 + 'Oct 25'!AU11 + 'Nov 25'!AU11+ 'Dec 25'!AU11 +'Jan 26'!AU11+'Feb 26'!AU11+'March 26'!AU11+'April 26'!AU11+'May 26'!AU11+'June 26'!AU11</f>
        <v>0</v>
      </c>
      <c r="AX11" s="7">
        <f>'July 25'!AV11 + 'August 25'!AV11 +'Sept 25'!AV11 + 'Oct 25'!AV11 + 'Nov 25'!AV11+ 'Dec 25'!AV11 +'Jan 26'!AV11+'Feb 26'!AV11+'March 26'!AV11+'April 26'!AV11+'May 26'!AV11+'June 26'!AV11</f>
        <v>0</v>
      </c>
      <c r="AY11" s="7">
        <f>'July 25'!AW11 + 'August 25'!AW11 +'Sept 25'!AW11 + 'Oct 25'!AW11 + 'Nov 25'!AW11+ 'Dec 25'!AW11 +'Jan 26'!AW11+'Feb 26'!AW11+'March 26'!AW11+'April 26'!AW11+'May 26'!AW11+'June 26'!AW11</f>
        <v>0</v>
      </c>
      <c r="AZ11" s="7">
        <f>'July 25'!AX11 + 'August 25'!AX11 +'Sept 25'!AX11 + 'Oct 25'!AX11 + 'Nov 25'!AX11+ 'Dec 25'!AX11 +'Jan 26'!AX11+'Feb 26'!AX11+'March 26'!AX11+'April 26'!AX11+'May 26'!AX11+'June 26'!AX11</f>
        <v>0</v>
      </c>
      <c r="BA11" s="7">
        <f>'July 25'!AY11 + 'August 25'!AY11 +'Sept 25'!AY11 + 'Oct 25'!AY11 + 'Nov 25'!AY11+ 'Dec 25'!AY11 +'Jan 26'!AY11+'Feb 26'!AY11+'March 26'!AY11+'April 26'!AY11+'May 26'!AY11+'June 26'!AY11</f>
        <v>0</v>
      </c>
      <c r="BB11" s="7">
        <f>'July 25'!AZ11 + 'August 25'!AZ11 +'Sept 25'!AZ11 + 'Oct 25'!AZ11 + 'Nov 25'!AZ11+ 'Dec 25'!AZ11 +'Jan 26'!AZ11+'Feb 26'!AZ11+'March 26'!AZ11+'April 26'!AZ11+'May 26'!AZ11+'June 26'!AZ11</f>
        <v>0</v>
      </c>
      <c r="BC11" s="7">
        <f>'July 25'!BA11 + 'August 25'!BA11 +'Sept 25'!BA11 + 'Oct 25'!BA11 + 'Nov 25'!BA11+ 'Dec 25'!BA11 +'Jan 26'!BA11+'Feb 26'!BA11+'March 26'!BA11+'April 26'!BA11+'May 26'!BA11+'June 26'!BA11</f>
        <v>0</v>
      </c>
      <c r="BD11" s="7">
        <f>'July 25'!BB11 + 'August 25'!BB11 +'Sept 25'!BB11 + 'Oct 25'!BB11 + 'Nov 25'!BB11+ 'Dec 25'!BB11 +'Jan 26'!BB11+'Feb 26'!BB11+'March 26'!BB11+'April 26'!BB11+'May 26'!BB11+'June 26'!BB11</f>
        <v>0</v>
      </c>
      <c r="BE11" s="7">
        <f>'July 25'!BC11 + 'August 25'!BC11 +'Sept 25'!BC11 + 'Oct 25'!BC11 + 'Nov 25'!BC11+ 'Dec 25'!BC11 +'Jan 26'!BC11+'Feb 26'!BC11+'March 26'!BC11+'April 26'!BC11+'May 26'!BC11+'June 26'!BC11</f>
        <v>0</v>
      </c>
      <c r="BF11" s="7">
        <f>'July 25'!BD11 + 'August 25'!BD11 +'Sept 25'!BD11 + 'Oct 25'!BD11 + 'Nov 25'!BD11+ 'Dec 25'!BD11 +'Jan 26'!BD11+'Feb 26'!BD11+'March 26'!BD11+'April 26'!BD11+'May 26'!BD11+'June 26'!BD11</f>
        <v>0</v>
      </c>
      <c r="BG11" s="7">
        <f>'July 25'!BE11 + 'August 25'!BE11 +'Sept 25'!BE11 + 'Oct 25'!BE11 + 'Nov 25'!BE11+ 'Dec 25'!BE11 +'Jan 26'!BE11+'Feb 26'!BE11+'March 26'!BE11+'April 26'!BE11+'May 26'!BE11+'June 26'!BE11</f>
        <v>0</v>
      </c>
      <c r="BH11" s="7">
        <f>'July 25'!BF11 + 'August 25'!BF11 +'Sept 25'!BF11 + 'Oct 25'!BF11 + 'Nov 25'!BF11+ 'Dec 25'!BF11 +'Jan 26'!BF11+'Feb 26'!BF11+'March 26'!BF11+'April 26'!BF11+'May 26'!BF11+'June 26'!BF11</f>
        <v>0</v>
      </c>
      <c r="BI11" s="7">
        <f>'July 25'!BG11 + 'August 25'!BG11 +'Sept 25'!BG11 + 'Oct 25'!BG11 + 'Nov 25'!BG11+ 'Dec 25'!BG11 +'Jan 26'!BG11+'Feb 26'!BG11+'March 26'!BG11+'April 26'!BG11+'May 26'!BG11+'June 26'!BG11</f>
        <v>0</v>
      </c>
      <c r="BJ11" s="7">
        <f>'July 25'!BH11 + 'August 25'!BH11 +'Sept 25'!BH11 + 'Oct 25'!BH11 + 'Nov 25'!BH11+ 'Dec 25'!BH11 +'Jan 26'!BH11+'Feb 26'!BH11+'March 26'!BH11+'April 26'!BH11+'May 26'!BH11+'June 26'!BH11</f>
        <v>0</v>
      </c>
      <c r="BK11" s="7">
        <f>'July 25'!BI11 + 'August 25'!BI11 +'Sept 25'!BI11 + 'Oct 25'!BI11 + 'Nov 25'!BI11+ 'Dec 25'!BI11 +'Jan 26'!BI11+'Feb 26'!BI11+'March 26'!BI11+'April 26'!BI11+'May 26'!BI11+'June 26'!BI11</f>
        <v>0</v>
      </c>
      <c r="BL11" s="7">
        <f>'July 25'!BJ11 + 'August 25'!BJ11 +'Sept 25'!BJ11 + 'Oct 25'!BJ11 + 'Nov 25'!BJ11+ 'Dec 25'!BJ11 +'Jan 26'!BJ11+'Feb 26'!BJ11+'March 26'!BJ11+'April 26'!BJ11+'May 26'!BJ11+'June 26'!BJ11</f>
        <v>0</v>
      </c>
      <c r="BM11" s="7">
        <f>'July 25'!BK11 + 'August 25'!BK11 +'Sept 25'!BK11 + 'Oct 25'!BK11 + 'Nov 25'!BK11+ 'Dec 25'!BK11 +'Jan 26'!BK11+'Feb 26'!BK11+'March 26'!BK11+'April 26'!BK11+'May 26'!BK11+'June 26'!BK11</f>
        <v>0</v>
      </c>
      <c r="BN11" s="7">
        <f>'July 25'!BL11 + 'August 25'!BL11 +'Sept 25'!BL11 + 'Oct 25'!BL11 + 'Nov 25'!BL11+ 'Dec 25'!BL11 +'Jan 26'!BL11+'Feb 26'!BL11+'March 26'!BL11+'April 26'!BL11+'May 26'!BL11+'June 26'!BL11</f>
        <v>0</v>
      </c>
      <c r="BO11" s="7">
        <f>'July 25'!BM11 + 'August 25'!BM11 +'Sept 25'!BM11 + 'Oct 25'!BM11 + 'Nov 25'!BM11+ 'Dec 25'!BM11 +'Jan 26'!BM11+'Feb 26'!BM11+'March 26'!BM11+'April 26'!BM11+'May 26'!BM11+'June 26'!BM11</f>
        <v>0</v>
      </c>
      <c r="BP11" s="7">
        <f>'July 25'!BN11 + 'August 25'!BN11 +'Sept 25'!BN11 + 'Oct 25'!BN11 + 'Nov 25'!BN11+ 'Dec 25'!BN11 +'Jan 26'!BN11+'Feb 26'!BN11+'March 26'!BN11+'April 26'!BN11+'May 26'!BN11+'June 26'!BN11</f>
        <v>0</v>
      </c>
      <c r="BQ11" s="7">
        <f>'July 25'!BO11 + 'August 25'!BO11 +'Sept 25'!BO11 + 'Oct 25'!BO11 + 'Nov 25'!BO11+ 'Dec 25'!BO11 +'Jan 26'!BO11+'Feb 26'!BO11+'March 26'!BO11+'April 26'!BO11+'May 26'!BO11+'June 26'!BO11</f>
        <v>0</v>
      </c>
      <c r="BR11" s="7">
        <f>'July 25'!BP11 + 'August 25'!BP11 +'Sept 25'!BP11 + 'Oct 25'!BP11 + 'Nov 25'!BP11+ 'Dec 25'!BP11 +'Jan 26'!BP11+'Feb 26'!BP11+'March 26'!BP11+'April 26'!BP11+'May 26'!BP11+'June 26'!BP11</f>
        <v>0</v>
      </c>
      <c r="BS11" s="7">
        <f>'July 25'!BQ11 + 'August 25'!BQ11 +'Sept 25'!BQ11 + 'Oct 25'!BQ11 + 'Nov 25'!BQ11+ 'Dec 25'!BQ11 +'Jan 26'!BQ11+'Feb 26'!BQ11+'March 26'!BQ11+'April 26'!BQ11+'May 26'!BQ11+'June 26'!BQ11</f>
        <v>67</v>
      </c>
      <c r="BT11" s="7">
        <f>'July 25'!BR11 + 'August 25'!BR11 +'Sept 25'!BR11 + 'Oct 25'!BR11 + 'Nov 25'!BR11+ 'Dec 25'!BR11 +'Jan 26'!BR11+'Feb 26'!BR11+'March 26'!BR11+'April 26'!BR11+'May 26'!BR11+'June 26'!BR11</f>
        <v>0</v>
      </c>
      <c r="BU11" s="7">
        <f>'July 25'!BS11 + 'August 25'!BS11 +'Sept 25'!BS11 + 'Oct 25'!BS11 + 'Nov 25'!BS11+ 'Dec 25'!BS11 +'Jan 26'!BS11+'Feb 26'!BS11+'March 26'!BS11+'April 26'!BS11+'May 26'!BS11+'June 26'!BS11</f>
        <v>0</v>
      </c>
      <c r="BV11" s="7">
        <f>'July 25'!BT11 + 'August 25'!BT11 +'Sept 25'!BT11 + 'Oct 25'!BT11 + 'Nov 25'!BT11+ 'Dec 25'!BT11 +'Jan 26'!BT11+'Feb 26'!BT11+'March 26'!BT11+'April 26'!BT11+'May 26'!BT11+'June 26'!BT11</f>
        <v>0</v>
      </c>
      <c r="BW11" s="7">
        <f>'July 25'!BU11 + 'August 25'!BU11 +'Sept 25'!BU11 + 'Oct 25'!BU11 + 'Nov 25'!BU11+ 'Dec 25'!BU11 +'Jan 26'!BU11+'Feb 26'!BU11+'March 26'!BU11+'April 26'!BU11+'May 26'!BU11+'June 26'!BU11</f>
        <v>0</v>
      </c>
      <c r="BX11" s="7">
        <f>'July 25'!BV11 + 'August 25'!BV11 +'Sept 25'!BV11 + 'Oct 25'!BV11 + 'Nov 25'!BV11+ 'Dec 25'!BV11 +'Jan 26'!BV11+'Feb 26'!BV11+'March 26'!BV11+'April 26'!BV11+'May 26'!BV11+'June 26'!BV11</f>
        <v>0</v>
      </c>
      <c r="BY11" s="7">
        <f>'July 25'!BW11 + 'August 25'!BW11 +'Sept 25'!BW11 + 'Oct 25'!BW11 + 'Nov 25'!BW11+ 'Dec 25'!BW11 +'Jan 26'!BW11+'Feb 26'!BW11+'March 26'!BW11+'April 26'!BW11+'May 26'!BW11+'June 26'!BW11</f>
        <v>1319</v>
      </c>
      <c r="BZ11" s="7">
        <f>'July 25'!BX11 + 'August 25'!BX11 +'Sept 25'!BX11 + 'Oct 25'!BX11 + 'Nov 25'!BX11+ 'Dec 25'!BX11 +'Jan 26'!BX11+'Feb 26'!BX11+'March 26'!BX11+'April 26'!BX11+'May 26'!BX11+'June 26'!BX11</f>
        <v>0</v>
      </c>
      <c r="CA11" s="7">
        <f>'July 25'!BY11 + 'August 25'!BY11 +'Sept 25'!BY11 + 'Oct 25'!BY11 + 'Nov 25'!BY11+ 'Dec 25'!BY11 +'Jan 26'!BY11+'Feb 26'!BY11+'March 26'!BY11+'April 26'!BY11+'May 26'!BY11+'June 26'!BY11</f>
        <v>0</v>
      </c>
      <c r="CB11" s="7">
        <f>'July 25'!BZ11 + 'August 25'!BZ11 +'Sept 25'!BZ11 + 'Oct 25'!BZ11 + 'Nov 25'!BZ11+ 'Dec 25'!BZ11 +'Jan 26'!BZ11+'Feb 26'!BZ11+'March 26'!BZ11+'April 26'!BZ11+'May 26'!BZ11+'June 26'!BZ11</f>
        <v>24</v>
      </c>
      <c r="CC11" s="7">
        <f>'July 25'!CA11 + 'August 25'!CA11 +'Sept 25'!CA11 + 'Oct 25'!CA11 + 'Nov 25'!CA11+ 'Dec 25'!CA11 +'Jan 26'!CA11+'Feb 26'!CA11+'March 26'!CA11+'April 26'!CA11+'May 26'!CA11+'June 26'!CA11</f>
        <v>0</v>
      </c>
      <c r="CD11" s="7">
        <f>'July 25'!CB11 + 'August 25'!CB11 +'Sept 25'!CB11 + 'Oct 25'!CB11 + 'Nov 25'!CB11+ 'Dec 25'!CB11 +'Jan 26'!CB11+'Feb 26'!CB11+'March 26'!CB11+'April 26'!CB11+'May 26'!CB11+'June 26'!CB11</f>
        <v>0</v>
      </c>
      <c r="CE11" s="7">
        <f>'July 25'!CC11 + 'August 25'!CC11 +'Sept 25'!CC11 + 'Oct 25'!CC11 + 'Nov 25'!CC11+ 'Dec 25'!CC11 +'Jan 26'!CC11+'Feb 26'!CC11+'March 26'!CC11+'April 26'!CC11+'May 26'!CC11+'June 26'!CC11</f>
        <v>0</v>
      </c>
      <c r="CF11" s="8" cm="1">
        <f t="array" ref="CF11">SUMPRODUCT(--(UPPER($F$2:$CE$2)="NET NEW"),$F11:$CE11)</f>
        <v>0</v>
      </c>
      <c r="CG11" s="3">
        <f>SUMIF($F$2:$CE$2,"Enhance Existing",$F11:$CE11)</f>
        <v>0</v>
      </c>
      <c r="CH11" s="3">
        <f>SUMIF($F$2:$CE$2,"Maintenance",$F11:$CE11)</f>
        <v>1410</v>
      </c>
    </row>
    <row r="12" spans="1:86" ht="15.95">
      <c r="A12" s="7" t="s">
        <v>41</v>
      </c>
      <c r="B12" s="7" t="s">
        <v>39</v>
      </c>
      <c r="C12" s="7" t="s">
        <v>51</v>
      </c>
      <c r="D12" s="12">
        <v>90</v>
      </c>
      <c r="E12" s="7"/>
      <c r="F12" s="7">
        <f>'July 25'!D12 + 'August 25'!D12 +'Sept 25'!D12 + 'Oct 25'!D12 + 'Nov 25'!D12+ 'Dec 25'!D12 +'Jan 26'!D12+'Feb 26'!D12+'March 26'!D12+'April 26'!D12+'May 26'!D12+'June 26'!D12</f>
        <v>0</v>
      </c>
      <c r="G12" s="7">
        <f>'July 25'!E12 + 'August 25'!E12 +'Sept 25'!E12 + 'Oct 25'!E12 + 'Nov 25'!E12+ 'Dec 25'!E12 +'Jan 26'!E12+'Feb 26'!E12+'March 26'!E12+'April 26'!E12+'May 26'!E12+'June 26'!E12</f>
        <v>0</v>
      </c>
      <c r="H12" s="7">
        <f>'July 25'!F12 + 'August 25'!F12 +'Sept 25'!F12 + 'Oct 25'!F12 + 'Nov 25'!F12+ 'Dec 25'!F12 +'Jan 26'!F12+'Feb 26'!F12+'March 26'!F12+'April 26'!F12+'May 26'!F12+'June 26'!F12</f>
        <v>0</v>
      </c>
      <c r="I12" s="7">
        <f>'July 25'!G12 + 'August 25'!G12 +'Sept 25'!G12 + 'Oct 25'!G12 + 'Nov 25'!G12+ 'Dec 25'!G12 +'Jan 26'!G12+'Feb 26'!G12+'March 26'!G12+'April 26'!G12+'May 26'!G12+'June 26'!G12</f>
        <v>0</v>
      </c>
      <c r="J12" s="7">
        <f>'July 25'!H12 + 'August 25'!H12 +'Sept 25'!H12 + 'Oct 25'!H12 + 'Nov 25'!H12+ 'Dec 25'!H12 +'Jan 26'!H12+'Feb 26'!H12+'March 26'!H12+'April 26'!H12+'May 26'!H12+'June 26'!H12</f>
        <v>0</v>
      </c>
      <c r="K12" s="7">
        <f>'July 25'!I12 + 'August 25'!I12 +'Sept 25'!I12 + 'Oct 25'!I12 + 'Nov 25'!I12+ 'Dec 25'!I12 +'Jan 26'!I12+'Feb 26'!I12+'March 26'!I12+'April 26'!I12+'May 26'!I12+'June 26'!I12</f>
        <v>0</v>
      </c>
      <c r="L12" s="7">
        <f>'July 25'!J12 + 'August 25'!J12 +'Sept 25'!J12 + 'Oct 25'!J12 + 'Nov 25'!J12+ 'Dec 25'!J12 +'Jan 26'!J12+'Feb 26'!J12+'March 26'!J12+'April 26'!J12+'May 26'!J12+'June 26'!J12</f>
        <v>0</v>
      </c>
      <c r="M12" s="7">
        <f>'July 25'!K12 + 'August 25'!K12 +'Sept 25'!K12 + 'Oct 25'!K12 + 'Nov 25'!K12+ 'Dec 25'!K12 +'Jan 26'!K12+'Feb 26'!K12+'March 26'!K12+'April 26'!K12+'May 26'!K12+'June 26'!K12</f>
        <v>0</v>
      </c>
      <c r="N12" s="7">
        <f>'July 25'!L12 + 'August 25'!L12 +'Sept 25'!L12 + 'Oct 25'!L12 + 'Nov 25'!L12+ 'Dec 25'!L12 +'Jan 26'!L12+'Feb 26'!L12+'March 26'!L12+'April 26'!L12+'May 26'!L12+'June 26'!L12</f>
        <v>0</v>
      </c>
      <c r="O12" s="7">
        <f>'July 25'!M12 + 'August 25'!M12 +'Sept 25'!M12 + 'Oct 25'!M12 + 'Nov 25'!M12+ 'Dec 25'!M12 +'Jan 26'!M12+'Feb 26'!M12+'March 26'!M12+'April 26'!M12+'May 26'!M12+'June 26'!M12</f>
        <v>0</v>
      </c>
      <c r="P12" s="7">
        <f>'July 25'!N12 + 'August 25'!N12 +'Sept 25'!N12 + 'Oct 25'!N12 + 'Nov 25'!N12+ 'Dec 25'!N12 +'Jan 26'!N12+'Feb 26'!N12+'March 26'!N12+'April 26'!N12+'May 26'!N12+'June 26'!N12</f>
        <v>0</v>
      </c>
      <c r="Q12" s="7">
        <f>'July 25'!O12 + 'August 25'!O12 +'Sept 25'!O12 + 'Oct 25'!O12 + 'Nov 25'!O12+ 'Dec 25'!O12 +'Jan 26'!O12+'Feb 26'!O12+'March 26'!O12+'April 26'!O12+'May 26'!O12+'June 26'!O12</f>
        <v>0</v>
      </c>
      <c r="R12" s="7">
        <f>'July 25'!P12 + 'August 25'!P12 +'Sept 25'!P12 + 'Oct 25'!P12 + 'Nov 25'!P12+ 'Dec 25'!P12 +'Jan 26'!P12+'Feb 26'!P12+'March 26'!P12+'April 26'!P12+'May 26'!P12+'June 26'!P12</f>
        <v>0</v>
      </c>
      <c r="S12" s="7">
        <f>'July 25'!Q12 + 'August 25'!Q12 +'Sept 25'!Q12 + 'Oct 25'!Q12 + 'Nov 25'!Q12+ 'Dec 25'!Q12 +'Jan 26'!Q12+'Feb 26'!Q12+'March 26'!Q12+'April 26'!Q12+'May 26'!Q12+'June 26'!Q12</f>
        <v>0</v>
      </c>
      <c r="T12" s="7">
        <f>'July 25'!R12 + 'August 25'!R12 +'Sept 25'!R12 + 'Oct 25'!R12 + 'Nov 25'!R12+ 'Dec 25'!R12 +'Jan 26'!R12+'Feb 26'!R12+'March 26'!R12+'April 26'!R12+'May 26'!R12+'June 26'!R12</f>
        <v>0</v>
      </c>
      <c r="U12" s="7">
        <f>'July 25'!S12 + 'August 25'!S12 +'Sept 25'!S12 + 'Oct 25'!S12 + 'Nov 25'!S12+ 'Dec 25'!S12 +'Jan 26'!S12+'Feb 26'!S12+'March 26'!S12+'April 26'!S12+'May 26'!S12+'June 26'!S12</f>
        <v>0</v>
      </c>
      <c r="V12" s="7">
        <f>'July 25'!T12 + 'August 25'!T12 +'Sept 25'!T12 + 'Oct 25'!T12 + 'Nov 25'!T12+ 'Dec 25'!T12 +'Jan 26'!T12+'Feb 26'!T12+'March 26'!T12+'April 26'!T12+'May 26'!T12+'June 26'!T12</f>
        <v>0</v>
      </c>
      <c r="W12" s="7">
        <f>'July 25'!U12 + 'August 25'!U12 +'Sept 25'!U12 + 'Oct 25'!U12 + 'Nov 25'!U12+ 'Dec 25'!U12 +'Jan 26'!U12+'Feb 26'!U12+'March 26'!U12+'April 26'!U12+'May 26'!U12+'June 26'!U12</f>
        <v>0</v>
      </c>
      <c r="X12" s="7">
        <f>'July 25'!V12 + 'August 25'!V12 +'Sept 25'!V12 + 'Oct 25'!V12 + 'Nov 25'!V12+ 'Dec 25'!V12 +'Jan 26'!V12+'Feb 26'!V12+'March 26'!V12+'April 26'!V12+'May 26'!V12+'June 26'!V12</f>
        <v>0</v>
      </c>
      <c r="Y12" s="7">
        <f>'July 25'!W12 + 'August 25'!W12 +'Sept 25'!W12 + 'Oct 25'!W12 + 'Nov 25'!W12+ 'Dec 25'!W12 +'Jan 26'!W12+'Feb 26'!W12+'March 26'!W12+'April 26'!W12+'May 26'!W12+'June 26'!W12</f>
        <v>0</v>
      </c>
      <c r="Z12" s="7">
        <f>'July 25'!X12 + 'August 25'!X12 +'Sept 25'!X12 + 'Oct 25'!X12 + 'Nov 25'!X12+ 'Dec 25'!X12 +'Jan 26'!X12+'Feb 26'!X12+'March 26'!X12+'April 26'!X12+'May 26'!X12+'June 26'!X12</f>
        <v>0</v>
      </c>
      <c r="AA12" s="7">
        <f>'July 25'!Y12 + 'August 25'!Y12 +'Sept 25'!Y12 + 'Oct 25'!Y12 + 'Nov 25'!Y12+ 'Dec 25'!Y12 +'Jan 26'!Y12+'Feb 26'!Y12+'March 26'!Y12+'April 26'!Y12+'May 26'!Y12+'June 26'!Y12</f>
        <v>0</v>
      </c>
      <c r="AB12" s="7">
        <f>'July 25'!Z12 + 'August 25'!Z12 +'Sept 25'!Z12 + 'Oct 25'!Z12 + 'Nov 25'!Z12+ 'Dec 25'!Z12 +'Jan 26'!Z12+'Feb 26'!Z12+'March 26'!Z12+'April 26'!Z12+'May 26'!Z12+'June 26'!Z12</f>
        <v>0</v>
      </c>
      <c r="AC12" s="7">
        <f>'July 25'!AA12 + 'August 25'!AA12 +'Sept 25'!AA12 + 'Oct 25'!AA12 + 'Nov 25'!AA12+ 'Dec 25'!AA12 +'Jan 26'!AA12+'Feb 26'!AA12+'March 26'!AA12+'April 26'!AA12+'May 26'!AA12+'June 26'!AA12</f>
        <v>0</v>
      </c>
      <c r="AD12" s="7">
        <f>'July 25'!AB12 + 'August 25'!AB12 +'Sept 25'!AB12 + 'Oct 25'!AB12 + 'Nov 25'!AB12+ 'Dec 25'!AB12 +'Jan 26'!AB12+'Feb 26'!AB12+'March 26'!AB12+'April 26'!AB12+'May 26'!AB12+'June 26'!AB12</f>
        <v>0</v>
      </c>
      <c r="AE12" s="7">
        <f>'July 25'!AC12 + 'August 25'!AC12 +'Sept 25'!AC12 + 'Oct 25'!AC12 + 'Nov 25'!AC12+ 'Dec 25'!AC12 +'Jan 26'!AC12+'Feb 26'!AC12+'March 26'!AC12+'April 26'!AC12+'May 26'!AC12+'June 26'!AC12</f>
        <v>0</v>
      </c>
      <c r="AF12" s="7">
        <f>'July 25'!AD12 + 'August 25'!AD12 +'Sept 25'!AD12 + 'Oct 25'!AD12 + 'Nov 25'!AD12+ 'Dec 25'!AD12 +'Jan 26'!AD12+'Feb 26'!AD12+'March 26'!AD12+'April 26'!AD12+'May 26'!AD12+'June 26'!AD12</f>
        <v>0</v>
      </c>
      <c r="AG12" s="7">
        <f>'July 25'!AE12 + 'August 25'!AE12 +'Sept 25'!AE12 + 'Oct 25'!AE12 + 'Nov 25'!AE12+ 'Dec 25'!AE12 +'Jan 26'!AE12+'Feb 26'!AE12+'March 26'!AE12+'April 26'!AE12+'May 26'!AE12+'June 26'!AE12</f>
        <v>0</v>
      </c>
      <c r="AH12" s="7">
        <f>'July 25'!AF12 + 'August 25'!AF12 +'Sept 25'!AF12 + 'Oct 25'!AF12 + 'Nov 25'!AF12+ 'Dec 25'!AF12 +'Jan 26'!AF12+'Feb 26'!AF12+'March 26'!AF12+'April 26'!AF12+'May 26'!AF12+'June 26'!AF12</f>
        <v>0</v>
      </c>
      <c r="AI12" s="7">
        <f>'July 25'!AG12 + 'August 25'!AG12 +'Sept 25'!AG12 + 'Oct 25'!AG12 + 'Nov 25'!AG12+ 'Dec 25'!AG12 +'Jan 26'!AG12+'Feb 26'!AG12+'March 26'!AG12+'April 26'!AG12+'May 26'!AG12+'June 26'!AG12</f>
        <v>0</v>
      </c>
      <c r="AJ12" s="7">
        <f>'July 25'!AH12 + 'August 25'!AH12 +'Sept 25'!AH12 + 'Oct 25'!AH12 + 'Nov 25'!AH12+ 'Dec 25'!AH12 +'Jan 26'!AH12+'Feb 26'!AH12+'March 26'!AH12+'April 26'!AH12+'May 26'!AH12+'June 26'!AH12</f>
        <v>0</v>
      </c>
      <c r="AK12" s="7">
        <f>'July 25'!AI12 + 'August 25'!AI12 +'Sept 25'!AI12 + 'Oct 25'!AI12 + 'Nov 25'!AI12+ 'Dec 25'!AI12 +'Jan 26'!AI12+'Feb 26'!AI12+'March 26'!AI12+'April 26'!AI12+'May 26'!AI12+'June 26'!AI12</f>
        <v>0</v>
      </c>
      <c r="AL12" s="7">
        <f>'July 25'!AJ12 + 'August 25'!AJ12 +'Sept 25'!AJ12 + 'Oct 25'!AJ12 + 'Nov 25'!AJ12+ 'Dec 25'!AJ12 +'Jan 26'!AJ12+'Feb 26'!AJ12+'March 26'!AJ12+'April 26'!AJ12+'May 26'!AJ12+'June 26'!AJ12</f>
        <v>0</v>
      </c>
      <c r="AM12" s="7">
        <f>'July 25'!AK12 + 'August 25'!AK12 +'Sept 25'!AK12 + 'Oct 25'!AK12 + 'Nov 25'!AK12+ 'Dec 25'!AK12 +'Jan 26'!AK12+'Feb 26'!AK12+'March 26'!AK12+'April 26'!AK12+'May 26'!AK12+'June 26'!AK12</f>
        <v>0</v>
      </c>
      <c r="AN12" s="7">
        <f>'July 25'!AL12 + 'August 25'!AL12 +'Sept 25'!AL12 + 'Oct 25'!AL12 + 'Nov 25'!AL12+ 'Dec 25'!AL12 +'Jan 26'!AL12+'Feb 26'!AL12+'March 26'!AL12+'April 26'!AL12+'May 26'!AL12+'June 26'!AL12</f>
        <v>0</v>
      </c>
      <c r="AO12" s="7">
        <f>'July 25'!AM12 + 'August 25'!AM12 +'Sept 25'!AM12 + 'Oct 25'!AM12 + 'Nov 25'!AM12+ 'Dec 25'!AM12 +'Jan 26'!AM12+'Feb 26'!AM12+'March 26'!AM12+'April 26'!AM12+'May 26'!AM12+'June 26'!AM12</f>
        <v>0</v>
      </c>
      <c r="AP12" s="7">
        <f>'July 25'!AN12 + 'August 25'!AN12 +'Sept 25'!AN12 + 'Oct 25'!AN12 + 'Nov 25'!AN12+ 'Dec 25'!AN12 +'Jan 26'!AN12+'Feb 26'!AN12+'March 26'!AN12+'April 26'!AN12+'May 26'!AN12+'June 26'!AN12</f>
        <v>0</v>
      </c>
      <c r="AQ12" s="7">
        <f>'July 25'!AO12 + 'August 25'!AO12 +'Sept 25'!AO12 + 'Oct 25'!AO12 + 'Nov 25'!AO12+ 'Dec 25'!AO12 +'Jan 26'!AO12+'Feb 26'!AO12+'March 26'!AO12+'April 26'!AO12+'May 26'!AO12+'June 26'!AO12</f>
        <v>0</v>
      </c>
      <c r="AR12" s="7">
        <f>'July 25'!AP12 + 'August 25'!AP12 +'Sept 25'!AP12 + 'Oct 25'!AP12 + 'Nov 25'!AP12+ 'Dec 25'!AP12 +'Jan 26'!AP12+'Feb 26'!AP12+'March 26'!AP12+'April 26'!AP12+'May 26'!AP12+'June 26'!AP12</f>
        <v>167</v>
      </c>
      <c r="AS12" s="7">
        <f>'July 25'!AQ12 + 'August 25'!AQ12 +'Sept 25'!AQ12 + 'Oct 25'!AQ12 + 'Nov 25'!AQ12+ 'Dec 25'!AQ12 +'Jan 26'!AQ12+'Feb 26'!AQ12+'March 26'!AQ12+'April 26'!AQ12+'May 26'!AQ12+'June 26'!AQ12</f>
        <v>0</v>
      </c>
      <c r="AT12" s="7">
        <f>'July 25'!AR12 + 'August 25'!AR12 +'Sept 25'!AR12 + 'Oct 25'!AR12 + 'Nov 25'!AR12+ 'Dec 25'!AR12 +'Jan 26'!AR12+'Feb 26'!AR12+'March 26'!AR12+'April 26'!AR12+'May 26'!AR12+'June 26'!AR12</f>
        <v>0</v>
      </c>
      <c r="AU12" s="7">
        <f>'July 25'!AS12 + 'August 25'!AS12 +'Sept 25'!AS12 + 'Oct 25'!AS12 + 'Nov 25'!AS12+ 'Dec 25'!AS12 +'Jan 26'!AS12+'Feb 26'!AS12+'March 26'!AS12+'April 26'!AS12+'May 26'!AS12+'June 26'!AS12</f>
        <v>209</v>
      </c>
      <c r="AV12" s="7">
        <f>'July 25'!AT12 + 'August 25'!AT12 +'Sept 25'!AT12 + 'Oct 25'!AT12 + 'Nov 25'!AT12+ 'Dec 25'!AT12 +'Jan 26'!AT12+'Feb 26'!AT12+'March 26'!AT12+'April 26'!AT12+'May 26'!AT12+'June 26'!AT12</f>
        <v>0</v>
      </c>
      <c r="AW12" s="7">
        <f>'July 25'!AU12 + 'August 25'!AU12 +'Sept 25'!AU12 + 'Oct 25'!AU12 + 'Nov 25'!AU12+ 'Dec 25'!AU12 +'Jan 26'!AU12+'Feb 26'!AU12+'March 26'!AU12+'April 26'!AU12+'May 26'!AU12+'June 26'!AU12</f>
        <v>0</v>
      </c>
      <c r="AX12" s="7">
        <f>'July 25'!AV12 + 'August 25'!AV12 +'Sept 25'!AV12 + 'Oct 25'!AV12 + 'Nov 25'!AV12+ 'Dec 25'!AV12 +'Jan 26'!AV12+'Feb 26'!AV12+'March 26'!AV12+'April 26'!AV12+'May 26'!AV12+'June 26'!AV12</f>
        <v>0</v>
      </c>
      <c r="AY12" s="7">
        <f>'July 25'!AW12 + 'August 25'!AW12 +'Sept 25'!AW12 + 'Oct 25'!AW12 + 'Nov 25'!AW12+ 'Dec 25'!AW12 +'Jan 26'!AW12+'Feb 26'!AW12+'March 26'!AW12+'April 26'!AW12+'May 26'!AW12+'June 26'!AW12</f>
        <v>0</v>
      </c>
      <c r="AZ12" s="7">
        <f>'July 25'!AX12 + 'August 25'!AX12 +'Sept 25'!AX12 + 'Oct 25'!AX12 + 'Nov 25'!AX12+ 'Dec 25'!AX12 +'Jan 26'!AX12+'Feb 26'!AX12+'March 26'!AX12+'April 26'!AX12+'May 26'!AX12+'June 26'!AX12</f>
        <v>0</v>
      </c>
      <c r="BA12" s="7">
        <f>'July 25'!AY12 + 'August 25'!AY12 +'Sept 25'!AY12 + 'Oct 25'!AY12 + 'Nov 25'!AY12+ 'Dec 25'!AY12 +'Jan 26'!AY12+'Feb 26'!AY12+'March 26'!AY12+'April 26'!AY12+'May 26'!AY12+'June 26'!AY12</f>
        <v>0</v>
      </c>
      <c r="BB12" s="7">
        <f>'July 25'!AZ12 + 'August 25'!AZ12 +'Sept 25'!AZ12 + 'Oct 25'!AZ12 + 'Nov 25'!AZ12+ 'Dec 25'!AZ12 +'Jan 26'!AZ12+'Feb 26'!AZ12+'March 26'!AZ12+'April 26'!AZ12+'May 26'!AZ12+'June 26'!AZ12</f>
        <v>0</v>
      </c>
      <c r="BC12" s="7">
        <f>'July 25'!BA12 + 'August 25'!BA12 +'Sept 25'!BA12 + 'Oct 25'!BA12 + 'Nov 25'!BA12+ 'Dec 25'!BA12 +'Jan 26'!BA12+'Feb 26'!BA12+'March 26'!BA12+'April 26'!BA12+'May 26'!BA12+'June 26'!BA12</f>
        <v>0</v>
      </c>
      <c r="BD12" s="7">
        <f>'July 25'!BB12 + 'August 25'!BB12 +'Sept 25'!BB12 + 'Oct 25'!BB12 + 'Nov 25'!BB12+ 'Dec 25'!BB12 +'Jan 26'!BB12+'Feb 26'!BB12+'March 26'!BB12+'April 26'!BB12+'May 26'!BB12+'June 26'!BB12</f>
        <v>0</v>
      </c>
      <c r="BE12" s="7">
        <f>'July 25'!BC12 + 'August 25'!BC12 +'Sept 25'!BC12 + 'Oct 25'!BC12 + 'Nov 25'!BC12+ 'Dec 25'!BC12 +'Jan 26'!BC12+'Feb 26'!BC12+'March 26'!BC12+'April 26'!BC12+'May 26'!BC12+'June 26'!BC12</f>
        <v>0</v>
      </c>
      <c r="BF12" s="7">
        <f>'July 25'!BD12 + 'August 25'!BD12 +'Sept 25'!BD12 + 'Oct 25'!BD12 + 'Nov 25'!BD12+ 'Dec 25'!BD12 +'Jan 26'!BD12+'Feb 26'!BD12+'March 26'!BD12+'April 26'!BD12+'May 26'!BD12+'June 26'!BD12</f>
        <v>0</v>
      </c>
      <c r="BG12" s="7">
        <f>'July 25'!BE12 + 'August 25'!BE12 +'Sept 25'!BE12 + 'Oct 25'!BE12 + 'Nov 25'!BE12+ 'Dec 25'!BE12 +'Jan 26'!BE12+'Feb 26'!BE12+'March 26'!BE12+'April 26'!BE12+'May 26'!BE12+'June 26'!BE12</f>
        <v>0</v>
      </c>
      <c r="BH12" s="7">
        <f>'July 25'!BF12 + 'August 25'!BF12 +'Sept 25'!BF12 + 'Oct 25'!BF12 + 'Nov 25'!BF12+ 'Dec 25'!BF12 +'Jan 26'!BF12+'Feb 26'!BF12+'March 26'!BF12+'April 26'!BF12+'May 26'!BF12+'June 26'!BF12</f>
        <v>718</v>
      </c>
      <c r="BI12" s="7">
        <f>'July 25'!BG12 + 'August 25'!BG12 +'Sept 25'!BG12 + 'Oct 25'!BG12 + 'Nov 25'!BG12+ 'Dec 25'!BG12 +'Jan 26'!BG12+'Feb 26'!BG12+'March 26'!BG12+'April 26'!BG12+'May 26'!BG12+'June 26'!BG12</f>
        <v>0</v>
      </c>
      <c r="BJ12" s="7">
        <f>'July 25'!BH12 + 'August 25'!BH12 +'Sept 25'!BH12 + 'Oct 25'!BH12 + 'Nov 25'!BH12+ 'Dec 25'!BH12 +'Jan 26'!BH12+'Feb 26'!BH12+'March 26'!BH12+'April 26'!BH12+'May 26'!BH12+'June 26'!BH12</f>
        <v>0</v>
      </c>
      <c r="BK12" s="7">
        <f>'July 25'!BI12 + 'August 25'!BI12 +'Sept 25'!BI12 + 'Oct 25'!BI12 + 'Nov 25'!BI12+ 'Dec 25'!BI12 +'Jan 26'!BI12+'Feb 26'!BI12+'March 26'!BI12+'April 26'!BI12+'May 26'!BI12+'June 26'!BI12</f>
        <v>0</v>
      </c>
      <c r="BL12" s="7">
        <f>'July 25'!BJ12 + 'August 25'!BJ12 +'Sept 25'!BJ12 + 'Oct 25'!BJ12 + 'Nov 25'!BJ12+ 'Dec 25'!BJ12 +'Jan 26'!BJ12+'Feb 26'!BJ12+'March 26'!BJ12+'April 26'!BJ12+'May 26'!BJ12+'June 26'!BJ12</f>
        <v>0</v>
      </c>
      <c r="BM12" s="7">
        <f>'July 25'!BK12 + 'August 25'!BK12 +'Sept 25'!BK12 + 'Oct 25'!BK12 + 'Nov 25'!BK12+ 'Dec 25'!BK12 +'Jan 26'!BK12+'Feb 26'!BK12+'March 26'!BK12+'April 26'!BK12+'May 26'!BK12+'June 26'!BK12</f>
        <v>0</v>
      </c>
      <c r="BN12" s="7">
        <f>'July 25'!BL12 + 'August 25'!BL12 +'Sept 25'!BL12 + 'Oct 25'!BL12 + 'Nov 25'!BL12+ 'Dec 25'!BL12 +'Jan 26'!BL12+'Feb 26'!BL12+'March 26'!BL12+'April 26'!BL12+'May 26'!BL12+'June 26'!BL12</f>
        <v>0</v>
      </c>
      <c r="BO12" s="7">
        <f>'July 25'!BM12 + 'August 25'!BM12 +'Sept 25'!BM12 + 'Oct 25'!BM12 + 'Nov 25'!BM12+ 'Dec 25'!BM12 +'Jan 26'!BM12+'Feb 26'!BM12+'March 26'!BM12+'April 26'!BM12+'May 26'!BM12+'June 26'!BM12</f>
        <v>0</v>
      </c>
      <c r="BP12" s="7">
        <f>'July 25'!BN12 + 'August 25'!BN12 +'Sept 25'!BN12 + 'Oct 25'!BN12 + 'Nov 25'!BN12+ 'Dec 25'!BN12 +'Jan 26'!BN12+'Feb 26'!BN12+'March 26'!BN12+'April 26'!BN12+'May 26'!BN12+'June 26'!BN12</f>
        <v>0</v>
      </c>
      <c r="BQ12" s="7">
        <f>'July 25'!BO12 + 'August 25'!BO12 +'Sept 25'!BO12 + 'Oct 25'!BO12 + 'Nov 25'!BO12+ 'Dec 25'!BO12 +'Jan 26'!BO12+'Feb 26'!BO12+'March 26'!BO12+'April 26'!BO12+'May 26'!BO12+'June 26'!BO12</f>
        <v>0</v>
      </c>
      <c r="BR12" s="7">
        <f>'July 25'!BP12 + 'August 25'!BP12 +'Sept 25'!BP12 + 'Oct 25'!BP12 + 'Nov 25'!BP12+ 'Dec 25'!BP12 +'Jan 26'!BP12+'Feb 26'!BP12+'March 26'!BP12+'April 26'!BP12+'May 26'!BP12+'June 26'!BP12</f>
        <v>0</v>
      </c>
      <c r="BS12" s="7">
        <f>'July 25'!BQ12 + 'August 25'!BQ12 +'Sept 25'!BQ12 + 'Oct 25'!BQ12 + 'Nov 25'!BQ12+ 'Dec 25'!BQ12 +'Jan 26'!BQ12+'Feb 26'!BQ12+'March 26'!BQ12+'April 26'!BQ12+'May 26'!BQ12+'June 26'!BQ12</f>
        <v>0</v>
      </c>
      <c r="BT12" s="7">
        <f>'July 25'!BR12 + 'August 25'!BR12 +'Sept 25'!BR12 + 'Oct 25'!BR12 + 'Nov 25'!BR12+ 'Dec 25'!BR12 +'Jan 26'!BR12+'Feb 26'!BR12+'March 26'!BR12+'April 26'!BR12+'May 26'!BR12+'June 26'!BR12</f>
        <v>0</v>
      </c>
      <c r="BU12" s="7">
        <f>'July 25'!BS12 + 'August 25'!BS12 +'Sept 25'!BS12 + 'Oct 25'!BS12 + 'Nov 25'!BS12+ 'Dec 25'!BS12 +'Jan 26'!BS12+'Feb 26'!BS12+'March 26'!BS12+'April 26'!BS12+'May 26'!BS12+'June 26'!BS12</f>
        <v>0</v>
      </c>
      <c r="BV12" s="7">
        <f>'July 25'!BT12 + 'August 25'!BT12 +'Sept 25'!BT12 + 'Oct 25'!BT12 + 'Nov 25'!BT12+ 'Dec 25'!BT12 +'Jan 26'!BT12+'Feb 26'!BT12+'March 26'!BT12+'April 26'!BT12+'May 26'!BT12+'June 26'!BT12</f>
        <v>0</v>
      </c>
      <c r="BW12" s="7">
        <f>'July 25'!BU12 + 'August 25'!BU12 +'Sept 25'!BU12 + 'Oct 25'!BU12 + 'Nov 25'!BU12+ 'Dec 25'!BU12 +'Jan 26'!BU12+'Feb 26'!BU12+'March 26'!BU12+'April 26'!BU12+'May 26'!BU12+'June 26'!BU12</f>
        <v>0</v>
      </c>
      <c r="BX12" s="7">
        <f>'July 25'!BV12 + 'August 25'!BV12 +'Sept 25'!BV12 + 'Oct 25'!BV12 + 'Nov 25'!BV12+ 'Dec 25'!BV12 +'Jan 26'!BV12+'Feb 26'!BV12+'March 26'!BV12+'April 26'!BV12+'May 26'!BV12+'June 26'!BV12</f>
        <v>0</v>
      </c>
      <c r="BY12" s="7">
        <f>'July 25'!BW12 + 'August 25'!BW12 +'Sept 25'!BW12 + 'Oct 25'!BW12 + 'Nov 25'!BW12+ 'Dec 25'!BW12 +'Jan 26'!BW12+'Feb 26'!BW12+'March 26'!BW12+'April 26'!BW12+'May 26'!BW12+'June 26'!BW12</f>
        <v>137</v>
      </c>
      <c r="BZ12" s="7">
        <f>'July 25'!BX12 + 'August 25'!BX12 +'Sept 25'!BX12 + 'Oct 25'!BX12 + 'Nov 25'!BX12+ 'Dec 25'!BX12 +'Jan 26'!BX12+'Feb 26'!BX12+'March 26'!BX12+'April 26'!BX12+'May 26'!BX12+'June 26'!BX12</f>
        <v>0</v>
      </c>
      <c r="CA12" s="7">
        <f>'July 25'!BY12 + 'August 25'!BY12 +'Sept 25'!BY12 + 'Oct 25'!BY12 + 'Nov 25'!BY12+ 'Dec 25'!BY12 +'Jan 26'!BY12+'Feb 26'!BY12+'March 26'!BY12+'April 26'!BY12+'May 26'!BY12+'June 26'!BY12</f>
        <v>0</v>
      </c>
      <c r="CB12" s="7">
        <f>'July 25'!BZ12 + 'August 25'!BZ12 +'Sept 25'!BZ12 + 'Oct 25'!BZ12 + 'Nov 25'!BZ12+ 'Dec 25'!BZ12 +'Jan 26'!BZ12+'Feb 26'!BZ12+'March 26'!BZ12+'April 26'!BZ12+'May 26'!BZ12+'June 26'!BZ12</f>
        <v>0</v>
      </c>
      <c r="CC12" s="7">
        <f>'July 25'!CA12 + 'August 25'!CA12 +'Sept 25'!CA12 + 'Oct 25'!CA12 + 'Nov 25'!CA12+ 'Dec 25'!CA12 +'Jan 26'!CA12+'Feb 26'!CA12+'March 26'!CA12+'April 26'!CA12+'May 26'!CA12+'June 26'!CA12</f>
        <v>0</v>
      </c>
      <c r="CD12" s="7">
        <f>'July 25'!CB12 + 'August 25'!CB12 +'Sept 25'!CB12 + 'Oct 25'!CB12 + 'Nov 25'!CB12+ 'Dec 25'!CB12 +'Jan 26'!CB12+'Feb 26'!CB12+'March 26'!CB12+'April 26'!CB12+'May 26'!CB12+'June 26'!CB12</f>
        <v>0</v>
      </c>
      <c r="CE12" s="7">
        <f>'July 25'!CC12 + 'August 25'!CC12 +'Sept 25'!CC12 + 'Oct 25'!CC12 + 'Nov 25'!CC12+ 'Dec 25'!CC12 +'Jan 26'!CC12+'Feb 26'!CC12+'March 26'!CC12+'April 26'!CC12+'May 26'!CC12+'June 26'!CC12</f>
        <v>0</v>
      </c>
      <c r="CF12" s="8" cm="1">
        <f t="array" ref="CF12">SUMPRODUCT(--(UPPER($F$2:$CE$2)="NET NEW"),$F12:$CE12)</f>
        <v>718</v>
      </c>
      <c r="CG12" s="3">
        <f>SUMIF($F$2:$CE$2,"Enhance Existing",$F12:$CE12)</f>
        <v>0</v>
      </c>
      <c r="CH12" s="3">
        <f>SUMIF($F$2:$CE$2,"Maintenance",$F12:$CE12)</f>
        <v>513</v>
      </c>
    </row>
    <row r="13" spans="1:86" ht="15.95">
      <c r="A13" s="7" t="s">
        <v>38</v>
      </c>
      <c r="B13" s="7" t="s">
        <v>39</v>
      </c>
      <c r="C13" s="7" t="s">
        <v>52</v>
      </c>
      <c r="D13" s="12">
        <v>146.15</v>
      </c>
      <c r="E13" s="7"/>
      <c r="F13" s="7">
        <f>'July 25'!D13 + 'August 25'!D13 +'Sept 25'!D13 + 'Oct 25'!D13 + 'Nov 25'!D13+ 'Dec 25'!D13 +'Jan 26'!D13+'Feb 26'!D13+'March 26'!D13+'April 26'!D13+'May 26'!D13+'June 26'!D13</f>
        <v>1000</v>
      </c>
      <c r="G13" s="7">
        <f>'July 25'!E13 + 'August 25'!E13 +'Sept 25'!E13 + 'Oct 25'!E13 + 'Nov 25'!E13+ 'Dec 25'!E13 +'Jan 26'!E13+'Feb 26'!E13+'March 26'!E13+'April 26'!E13+'May 26'!E13+'June 26'!E13</f>
        <v>0</v>
      </c>
      <c r="H13" s="7">
        <f>'July 25'!F13 + 'August 25'!F13 +'Sept 25'!F13 + 'Oct 25'!F13 + 'Nov 25'!F13+ 'Dec 25'!F13 +'Jan 26'!F13+'Feb 26'!F13+'March 26'!F13+'April 26'!F13+'May 26'!F13+'June 26'!F13</f>
        <v>440</v>
      </c>
      <c r="I13" s="7">
        <f>'July 25'!G13 + 'August 25'!G13 +'Sept 25'!G13 + 'Oct 25'!G13 + 'Nov 25'!G13+ 'Dec 25'!G13 +'Jan 26'!G13+'Feb 26'!G13+'March 26'!G13+'April 26'!G13+'May 26'!G13+'June 26'!G13</f>
        <v>0</v>
      </c>
      <c r="J13" s="7">
        <f>'July 25'!H13 + 'August 25'!H13 +'Sept 25'!H13 + 'Oct 25'!H13 + 'Nov 25'!H13+ 'Dec 25'!H13 +'Jan 26'!H13+'Feb 26'!H13+'March 26'!H13+'April 26'!H13+'May 26'!H13+'June 26'!H13</f>
        <v>0</v>
      </c>
      <c r="K13" s="7">
        <f>'July 25'!I13 + 'August 25'!I13 +'Sept 25'!I13 + 'Oct 25'!I13 + 'Nov 25'!I13+ 'Dec 25'!I13 +'Jan 26'!I13+'Feb 26'!I13+'March 26'!I13+'April 26'!I13+'May 26'!I13+'June 26'!I13</f>
        <v>0</v>
      </c>
      <c r="L13" s="7">
        <f>'July 25'!J13 + 'August 25'!J13 +'Sept 25'!J13 + 'Oct 25'!J13 + 'Nov 25'!J13+ 'Dec 25'!J13 +'Jan 26'!J13+'Feb 26'!J13+'March 26'!J13+'April 26'!J13+'May 26'!J13+'June 26'!J13</f>
        <v>0</v>
      </c>
      <c r="M13" s="7">
        <f>'July 25'!K13 + 'August 25'!K13 +'Sept 25'!K13 + 'Oct 25'!K13 + 'Nov 25'!K13+ 'Dec 25'!K13 +'Jan 26'!K13+'Feb 26'!K13+'March 26'!K13+'April 26'!K13+'May 26'!K13+'June 26'!K13</f>
        <v>0</v>
      </c>
      <c r="N13" s="7">
        <f>'July 25'!L13 + 'August 25'!L13 +'Sept 25'!L13 + 'Oct 25'!L13 + 'Nov 25'!L13+ 'Dec 25'!L13 +'Jan 26'!L13+'Feb 26'!L13+'March 26'!L13+'April 26'!L13+'May 26'!L13+'June 26'!L13</f>
        <v>0</v>
      </c>
      <c r="O13" s="7">
        <f>'July 25'!M13 + 'August 25'!M13 +'Sept 25'!M13 + 'Oct 25'!M13 + 'Nov 25'!M13+ 'Dec 25'!M13 +'Jan 26'!M13+'Feb 26'!M13+'March 26'!M13+'April 26'!M13+'May 26'!M13+'June 26'!M13</f>
        <v>0</v>
      </c>
      <c r="P13" s="7">
        <f>'July 25'!N13 + 'August 25'!N13 +'Sept 25'!N13 + 'Oct 25'!N13 + 'Nov 25'!N13+ 'Dec 25'!N13 +'Jan 26'!N13+'Feb 26'!N13+'March 26'!N13+'April 26'!N13+'May 26'!N13+'June 26'!N13</f>
        <v>0</v>
      </c>
      <c r="Q13" s="7">
        <f>'July 25'!O13 + 'August 25'!O13 +'Sept 25'!O13 + 'Oct 25'!O13 + 'Nov 25'!O13+ 'Dec 25'!O13 +'Jan 26'!O13+'Feb 26'!O13+'March 26'!O13+'April 26'!O13+'May 26'!O13+'June 26'!O13</f>
        <v>0</v>
      </c>
      <c r="R13" s="7">
        <f>'July 25'!P13 + 'August 25'!P13 +'Sept 25'!P13 + 'Oct 25'!P13 + 'Nov 25'!P13+ 'Dec 25'!P13 +'Jan 26'!P13+'Feb 26'!P13+'March 26'!P13+'April 26'!P13+'May 26'!P13+'June 26'!P13</f>
        <v>0</v>
      </c>
      <c r="S13" s="7">
        <f>'July 25'!Q13 + 'August 25'!Q13 +'Sept 25'!Q13 + 'Oct 25'!Q13 + 'Nov 25'!Q13+ 'Dec 25'!Q13 +'Jan 26'!Q13+'Feb 26'!Q13+'March 26'!Q13+'April 26'!Q13+'May 26'!Q13+'June 26'!Q13</f>
        <v>0</v>
      </c>
      <c r="T13" s="7">
        <f>'July 25'!R13 + 'August 25'!R13 +'Sept 25'!R13 + 'Oct 25'!R13 + 'Nov 25'!R13+ 'Dec 25'!R13 +'Jan 26'!R13+'Feb 26'!R13+'March 26'!R13+'April 26'!R13+'May 26'!R13+'June 26'!R13</f>
        <v>0</v>
      </c>
      <c r="U13" s="7">
        <f>'July 25'!S13 + 'August 25'!S13 +'Sept 25'!S13 + 'Oct 25'!S13 + 'Nov 25'!S13+ 'Dec 25'!S13 +'Jan 26'!S13+'Feb 26'!S13+'March 26'!S13+'April 26'!S13+'May 26'!S13+'June 26'!S13</f>
        <v>0</v>
      </c>
      <c r="V13" s="7">
        <f>'July 25'!T13 + 'August 25'!T13 +'Sept 25'!T13 + 'Oct 25'!T13 + 'Nov 25'!T13+ 'Dec 25'!T13 +'Jan 26'!T13+'Feb 26'!T13+'March 26'!T13+'April 26'!T13+'May 26'!T13+'June 26'!T13</f>
        <v>0</v>
      </c>
      <c r="W13" s="7">
        <f>'July 25'!U13 + 'August 25'!U13 +'Sept 25'!U13 + 'Oct 25'!U13 + 'Nov 25'!U13+ 'Dec 25'!U13 +'Jan 26'!U13+'Feb 26'!U13+'March 26'!U13+'April 26'!U13+'May 26'!U13+'June 26'!U13</f>
        <v>0</v>
      </c>
      <c r="X13" s="7">
        <f>'July 25'!V13 + 'August 25'!V13 +'Sept 25'!V13 + 'Oct 25'!V13 + 'Nov 25'!V13+ 'Dec 25'!V13 +'Jan 26'!V13+'Feb 26'!V13+'March 26'!V13+'April 26'!V13+'May 26'!V13+'June 26'!V13</f>
        <v>0</v>
      </c>
      <c r="Y13" s="7">
        <f>'July 25'!W13 + 'August 25'!W13 +'Sept 25'!W13 + 'Oct 25'!W13 + 'Nov 25'!W13+ 'Dec 25'!W13 +'Jan 26'!W13+'Feb 26'!W13+'March 26'!W13+'April 26'!W13+'May 26'!W13+'June 26'!W13</f>
        <v>0</v>
      </c>
      <c r="Z13" s="7">
        <f>'July 25'!X13 + 'August 25'!X13 +'Sept 25'!X13 + 'Oct 25'!X13 + 'Nov 25'!X13+ 'Dec 25'!X13 +'Jan 26'!X13+'Feb 26'!X13+'March 26'!X13+'April 26'!X13+'May 26'!X13+'June 26'!X13</f>
        <v>0</v>
      </c>
      <c r="AA13" s="7">
        <f>'July 25'!Y13 + 'August 25'!Y13 +'Sept 25'!Y13 + 'Oct 25'!Y13 + 'Nov 25'!Y13+ 'Dec 25'!Y13 +'Jan 26'!Y13+'Feb 26'!Y13+'March 26'!Y13+'April 26'!Y13+'May 26'!Y13+'June 26'!Y13</f>
        <v>0</v>
      </c>
      <c r="AB13" s="7">
        <f>'July 25'!Z13 + 'August 25'!Z13 +'Sept 25'!Z13 + 'Oct 25'!Z13 + 'Nov 25'!Z13+ 'Dec 25'!Z13 +'Jan 26'!Z13+'Feb 26'!Z13+'March 26'!Z13+'April 26'!Z13+'May 26'!Z13+'June 26'!Z13</f>
        <v>0</v>
      </c>
      <c r="AC13" s="7">
        <f>'July 25'!AA13 + 'August 25'!AA13 +'Sept 25'!AA13 + 'Oct 25'!AA13 + 'Nov 25'!AA13+ 'Dec 25'!AA13 +'Jan 26'!AA13+'Feb 26'!AA13+'March 26'!AA13+'April 26'!AA13+'May 26'!AA13+'June 26'!AA13</f>
        <v>0</v>
      </c>
      <c r="AD13" s="7">
        <f>'July 25'!AB13 + 'August 25'!AB13 +'Sept 25'!AB13 + 'Oct 25'!AB13 + 'Nov 25'!AB13+ 'Dec 25'!AB13 +'Jan 26'!AB13+'Feb 26'!AB13+'March 26'!AB13+'April 26'!AB13+'May 26'!AB13+'June 26'!AB13</f>
        <v>0</v>
      </c>
      <c r="AE13" s="7">
        <f>'July 25'!AC13 + 'August 25'!AC13 +'Sept 25'!AC13 + 'Oct 25'!AC13 + 'Nov 25'!AC13+ 'Dec 25'!AC13 +'Jan 26'!AC13+'Feb 26'!AC13+'March 26'!AC13+'April 26'!AC13+'May 26'!AC13+'June 26'!AC13</f>
        <v>0</v>
      </c>
      <c r="AF13" s="7">
        <f>'July 25'!AD13 + 'August 25'!AD13 +'Sept 25'!AD13 + 'Oct 25'!AD13 + 'Nov 25'!AD13+ 'Dec 25'!AD13 +'Jan 26'!AD13+'Feb 26'!AD13+'March 26'!AD13+'April 26'!AD13+'May 26'!AD13+'June 26'!AD13</f>
        <v>0</v>
      </c>
      <c r="AG13" s="7">
        <f>'July 25'!AE13 + 'August 25'!AE13 +'Sept 25'!AE13 + 'Oct 25'!AE13 + 'Nov 25'!AE13+ 'Dec 25'!AE13 +'Jan 26'!AE13+'Feb 26'!AE13+'March 26'!AE13+'April 26'!AE13+'May 26'!AE13+'June 26'!AE13</f>
        <v>0</v>
      </c>
      <c r="AH13" s="7">
        <f>'July 25'!AF13 + 'August 25'!AF13 +'Sept 25'!AF13 + 'Oct 25'!AF13 + 'Nov 25'!AF13+ 'Dec 25'!AF13 +'Jan 26'!AF13+'Feb 26'!AF13+'March 26'!AF13+'April 26'!AF13+'May 26'!AF13+'June 26'!AF13</f>
        <v>0</v>
      </c>
      <c r="AI13" s="7">
        <f>'July 25'!AG13 + 'August 25'!AG13 +'Sept 25'!AG13 + 'Oct 25'!AG13 + 'Nov 25'!AG13+ 'Dec 25'!AG13 +'Jan 26'!AG13+'Feb 26'!AG13+'March 26'!AG13+'April 26'!AG13+'May 26'!AG13+'June 26'!AG13</f>
        <v>0</v>
      </c>
      <c r="AJ13" s="7">
        <f>'July 25'!AH13 + 'August 25'!AH13 +'Sept 25'!AH13 + 'Oct 25'!AH13 + 'Nov 25'!AH13+ 'Dec 25'!AH13 +'Jan 26'!AH13+'Feb 26'!AH13+'March 26'!AH13+'April 26'!AH13+'May 26'!AH13+'June 26'!AH13</f>
        <v>0</v>
      </c>
      <c r="AK13" s="7">
        <f>'July 25'!AI13 + 'August 25'!AI13 +'Sept 25'!AI13 + 'Oct 25'!AI13 + 'Nov 25'!AI13+ 'Dec 25'!AI13 +'Jan 26'!AI13+'Feb 26'!AI13+'March 26'!AI13+'April 26'!AI13+'May 26'!AI13+'June 26'!AI13</f>
        <v>0</v>
      </c>
      <c r="AL13" s="7">
        <f>'July 25'!AJ13 + 'August 25'!AJ13 +'Sept 25'!AJ13 + 'Oct 25'!AJ13 + 'Nov 25'!AJ13+ 'Dec 25'!AJ13 +'Jan 26'!AJ13+'Feb 26'!AJ13+'March 26'!AJ13+'April 26'!AJ13+'May 26'!AJ13+'June 26'!AJ13</f>
        <v>0</v>
      </c>
      <c r="AM13" s="7">
        <f>'July 25'!AK13 + 'August 25'!AK13 +'Sept 25'!AK13 + 'Oct 25'!AK13 + 'Nov 25'!AK13+ 'Dec 25'!AK13 +'Jan 26'!AK13+'Feb 26'!AK13+'March 26'!AK13+'April 26'!AK13+'May 26'!AK13+'June 26'!AK13</f>
        <v>0</v>
      </c>
      <c r="AN13" s="7">
        <f>'July 25'!AL13 + 'August 25'!AL13 +'Sept 25'!AL13 + 'Oct 25'!AL13 + 'Nov 25'!AL13+ 'Dec 25'!AL13 +'Jan 26'!AL13+'Feb 26'!AL13+'March 26'!AL13+'April 26'!AL13+'May 26'!AL13+'June 26'!AL13</f>
        <v>0</v>
      </c>
      <c r="AO13" s="7">
        <f>'July 25'!AM13 + 'August 25'!AM13 +'Sept 25'!AM13 + 'Oct 25'!AM13 + 'Nov 25'!AM13+ 'Dec 25'!AM13 +'Jan 26'!AM13+'Feb 26'!AM13+'March 26'!AM13+'April 26'!AM13+'May 26'!AM13+'June 26'!AM13</f>
        <v>0</v>
      </c>
      <c r="AP13" s="7">
        <f>'July 25'!AN13 + 'August 25'!AN13 +'Sept 25'!AN13 + 'Oct 25'!AN13 + 'Nov 25'!AN13+ 'Dec 25'!AN13 +'Jan 26'!AN13+'Feb 26'!AN13+'March 26'!AN13+'April 26'!AN13+'May 26'!AN13+'June 26'!AN13</f>
        <v>0</v>
      </c>
      <c r="AQ13" s="7">
        <f>'July 25'!AO13 + 'August 25'!AO13 +'Sept 25'!AO13 + 'Oct 25'!AO13 + 'Nov 25'!AO13+ 'Dec 25'!AO13 +'Jan 26'!AO13+'Feb 26'!AO13+'March 26'!AO13+'April 26'!AO13+'May 26'!AO13+'June 26'!AO13</f>
        <v>0</v>
      </c>
      <c r="AR13" s="7">
        <f>'July 25'!AP13 + 'August 25'!AP13 +'Sept 25'!AP13 + 'Oct 25'!AP13 + 'Nov 25'!AP13+ 'Dec 25'!AP13 +'Jan 26'!AP13+'Feb 26'!AP13+'March 26'!AP13+'April 26'!AP13+'May 26'!AP13+'June 26'!AP13</f>
        <v>0</v>
      </c>
      <c r="AS13" s="7">
        <f>'July 25'!AQ13 + 'August 25'!AQ13 +'Sept 25'!AQ13 + 'Oct 25'!AQ13 + 'Nov 25'!AQ13+ 'Dec 25'!AQ13 +'Jan 26'!AQ13+'Feb 26'!AQ13+'March 26'!AQ13+'April 26'!AQ13+'May 26'!AQ13+'June 26'!AQ13</f>
        <v>0</v>
      </c>
      <c r="AT13" s="7">
        <f>'July 25'!AR13 + 'August 25'!AR13 +'Sept 25'!AR13 + 'Oct 25'!AR13 + 'Nov 25'!AR13+ 'Dec 25'!AR13 +'Jan 26'!AR13+'Feb 26'!AR13+'March 26'!AR13+'April 26'!AR13+'May 26'!AR13+'June 26'!AR13</f>
        <v>0</v>
      </c>
      <c r="AU13" s="7">
        <f>'July 25'!AS13 + 'August 25'!AS13 +'Sept 25'!AS13 + 'Oct 25'!AS13 + 'Nov 25'!AS13+ 'Dec 25'!AS13 +'Jan 26'!AS13+'Feb 26'!AS13+'March 26'!AS13+'April 26'!AS13+'May 26'!AS13+'June 26'!AS13</f>
        <v>0</v>
      </c>
      <c r="AV13" s="7">
        <f>'July 25'!AT13 + 'August 25'!AT13 +'Sept 25'!AT13 + 'Oct 25'!AT13 + 'Nov 25'!AT13+ 'Dec 25'!AT13 +'Jan 26'!AT13+'Feb 26'!AT13+'March 26'!AT13+'April 26'!AT13+'May 26'!AT13+'June 26'!AT13</f>
        <v>0</v>
      </c>
      <c r="AW13" s="7">
        <f>'July 25'!AU13 + 'August 25'!AU13 +'Sept 25'!AU13 + 'Oct 25'!AU13 + 'Nov 25'!AU13+ 'Dec 25'!AU13 +'Jan 26'!AU13+'Feb 26'!AU13+'March 26'!AU13+'April 26'!AU13+'May 26'!AU13+'June 26'!AU13</f>
        <v>0</v>
      </c>
      <c r="AX13" s="7">
        <f>'July 25'!AV13 + 'August 25'!AV13 +'Sept 25'!AV13 + 'Oct 25'!AV13 + 'Nov 25'!AV13+ 'Dec 25'!AV13 +'Jan 26'!AV13+'Feb 26'!AV13+'March 26'!AV13+'April 26'!AV13+'May 26'!AV13+'June 26'!AV13</f>
        <v>0</v>
      </c>
      <c r="AY13" s="7">
        <f>'July 25'!AW13 + 'August 25'!AW13 +'Sept 25'!AW13 + 'Oct 25'!AW13 + 'Nov 25'!AW13+ 'Dec 25'!AW13 +'Jan 26'!AW13+'Feb 26'!AW13+'March 26'!AW13+'April 26'!AW13+'May 26'!AW13+'June 26'!AW13</f>
        <v>0</v>
      </c>
      <c r="AZ13" s="7">
        <f>'July 25'!AX13 + 'August 25'!AX13 +'Sept 25'!AX13 + 'Oct 25'!AX13 + 'Nov 25'!AX13+ 'Dec 25'!AX13 +'Jan 26'!AX13+'Feb 26'!AX13+'March 26'!AX13+'April 26'!AX13+'May 26'!AX13+'June 26'!AX13</f>
        <v>0</v>
      </c>
      <c r="BA13" s="7">
        <f>'July 25'!AY13 + 'August 25'!AY13 +'Sept 25'!AY13 + 'Oct 25'!AY13 + 'Nov 25'!AY13+ 'Dec 25'!AY13 +'Jan 26'!AY13+'Feb 26'!AY13+'March 26'!AY13+'April 26'!AY13+'May 26'!AY13+'June 26'!AY13</f>
        <v>0</v>
      </c>
      <c r="BB13" s="7">
        <f>'July 25'!AZ13 + 'August 25'!AZ13 +'Sept 25'!AZ13 + 'Oct 25'!AZ13 + 'Nov 25'!AZ13+ 'Dec 25'!AZ13 +'Jan 26'!AZ13+'Feb 26'!AZ13+'March 26'!AZ13+'April 26'!AZ13+'May 26'!AZ13+'June 26'!AZ13</f>
        <v>0</v>
      </c>
      <c r="BC13" s="7">
        <f>'July 25'!BA13 + 'August 25'!BA13 +'Sept 25'!BA13 + 'Oct 25'!BA13 + 'Nov 25'!BA13+ 'Dec 25'!BA13 +'Jan 26'!BA13+'Feb 26'!BA13+'March 26'!BA13+'April 26'!BA13+'May 26'!BA13+'June 26'!BA13</f>
        <v>0</v>
      </c>
      <c r="BD13" s="7">
        <f>'July 25'!BB13 + 'August 25'!BB13 +'Sept 25'!BB13 + 'Oct 25'!BB13 + 'Nov 25'!BB13+ 'Dec 25'!BB13 +'Jan 26'!BB13+'Feb 26'!BB13+'March 26'!BB13+'April 26'!BB13+'May 26'!BB13+'June 26'!BB13</f>
        <v>0</v>
      </c>
      <c r="BE13" s="7">
        <f>'July 25'!BC13 + 'August 25'!BC13 +'Sept 25'!BC13 + 'Oct 25'!BC13 + 'Nov 25'!BC13+ 'Dec 25'!BC13 +'Jan 26'!BC13+'Feb 26'!BC13+'March 26'!BC13+'April 26'!BC13+'May 26'!BC13+'June 26'!BC13</f>
        <v>0</v>
      </c>
      <c r="BF13" s="7">
        <f>'July 25'!BD13 + 'August 25'!BD13 +'Sept 25'!BD13 + 'Oct 25'!BD13 + 'Nov 25'!BD13+ 'Dec 25'!BD13 +'Jan 26'!BD13+'Feb 26'!BD13+'March 26'!BD13+'April 26'!BD13+'May 26'!BD13+'June 26'!BD13</f>
        <v>0</v>
      </c>
      <c r="BG13" s="7">
        <f>'July 25'!BE13 + 'August 25'!BE13 +'Sept 25'!BE13 + 'Oct 25'!BE13 + 'Nov 25'!BE13+ 'Dec 25'!BE13 +'Jan 26'!BE13+'Feb 26'!BE13+'March 26'!BE13+'April 26'!BE13+'May 26'!BE13+'June 26'!BE13</f>
        <v>0</v>
      </c>
      <c r="BH13" s="7">
        <f>'July 25'!BF13 + 'August 25'!BF13 +'Sept 25'!BF13 + 'Oct 25'!BF13 + 'Nov 25'!BF13+ 'Dec 25'!BF13 +'Jan 26'!BF13+'Feb 26'!BF13+'March 26'!BF13+'April 26'!BF13+'May 26'!BF13+'June 26'!BF13</f>
        <v>0</v>
      </c>
      <c r="BI13" s="7">
        <f>'July 25'!BG13 + 'August 25'!BG13 +'Sept 25'!BG13 + 'Oct 25'!BG13 + 'Nov 25'!BG13+ 'Dec 25'!BG13 +'Jan 26'!BG13+'Feb 26'!BG13+'March 26'!BG13+'April 26'!BG13+'May 26'!BG13+'June 26'!BG13</f>
        <v>0</v>
      </c>
      <c r="BJ13" s="7">
        <f>'July 25'!BH13 + 'August 25'!BH13 +'Sept 25'!BH13 + 'Oct 25'!BH13 + 'Nov 25'!BH13+ 'Dec 25'!BH13 +'Jan 26'!BH13+'Feb 26'!BH13+'March 26'!BH13+'April 26'!BH13+'May 26'!BH13+'June 26'!BH13</f>
        <v>0</v>
      </c>
      <c r="BK13" s="7">
        <f>'July 25'!BI13 + 'August 25'!BI13 +'Sept 25'!BI13 + 'Oct 25'!BI13 + 'Nov 25'!BI13+ 'Dec 25'!BI13 +'Jan 26'!BI13+'Feb 26'!BI13+'March 26'!BI13+'April 26'!BI13+'May 26'!BI13+'June 26'!BI13</f>
        <v>0</v>
      </c>
      <c r="BL13" s="7">
        <f>'July 25'!BJ13 + 'August 25'!BJ13 +'Sept 25'!BJ13 + 'Oct 25'!BJ13 + 'Nov 25'!BJ13+ 'Dec 25'!BJ13 +'Jan 26'!BJ13+'Feb 26'!BJ13+'March 26'!BJ13+'April 26'!BJ13+'May 26'!BJ13+'June 26'!BJ13</f>
        <v>0</v>
      </c>
      <c r="BM13" s="7">
        <f>'July 25'!BK13 + 'August 25'!BK13 +'Sept 25'!BK13 + 'Oct 25'!BK13 + 'Nov 25'!BK13+ 'Dec 25'!BK13 +'Jan 26'!BK13+'Feb 26'!BK13+'March 26'!BK13+'April 26'!BK13+'May 26'!BK13+'June 26'!BK13</f>
        <v>0</v>
      </c>
      <c r="BN13" s="7">
        <f>'July 25'!BL13 + 'August 25'!BL13 +'Sept 25'!BL13 + 'Oct 25'!BL13 + 'Nov 25'!BL13+ 'Dec 25'!BL13 +'Jan 26'!BL13+'Feb 26'!BL13+'March 26'!BL13+'April 26'!BL13+'May 26'!BL13+'June 26'!BL13</f>
        <v>0</v>
      </c>
      <c r="BO13" s="7">
        <f>'July 25'!BM13 + 'August 25'!BM13 +'Sept 25'!BM13 + 'Oct 25'!BM13 + 'Nov 25'!BM13+ 'Dec 25'!BM13 +'Jan 26'!BM13+'Feb 26'!BM13+'March 26'!BM13+'April 26'!BM13+'May 26'!BM13+'June 26'!BM13</f>
        <v>0</v>
      </c>
      <c r="BP13" s="7">
        <f>'July 25'!BN13 + 'August 25'!BN13 +'Sept 25'!BN13 + 'Oct 25'!BN13 + 'Nov 25'!BN13+ 'Dec 25'!BN13 +'Jan 26'!BN13+'Feb 26'!BN13+'March 26'!BN13+'April 26'!BN13+'May 26'!BN13+'June 26'!BN13</f>
        <v>0</v>
      </c>
      <c r="BQ13" s="7">
        <f>'July 25'!BO13 + 'August 25'!BO13 +'Sept 25'!BO13 + 'Oct 25'!BO13 + 'Nov 25'!BO13+ 'Dec 25'!BO13 +'Jan 26'!BO13+'Feb 26'!BO13+'March 26'!BO13+'April 26'!BO13+'May 26'!BO13+'June 26'!BO13</f>
        <v>0</v>
      </c>
      <c r="BR13" s="7">
        <f>'July 25'!BP13 + 'August 25'!BP13 +'Sept 25'!BP13 + 'Oct 25'!BP13 + 'Nov 25'!BP13+ 'Dec 25'!BP13 +'Jan 26'!BP13+'Feb 26'!BP13+'March 26'!BP13+'April 26'!BP13+'May 26'!BP13+'June 26'!BP13</f>
        <v>0</v>
      </c>
      <c r="BS13" s="7">
        <f>'July 25'!BQ13 + 'August 25'!BQ13 +'Sept 25'!BQ13 + 'Oct 25'!BQ13 + 'Nov 25'!BQ13+ 'Dec 25'!BQ13 +'Jan 26'!BQ13+'Feb 26'!BQ13+'March 26'!BQ13+'April 26'!BQ13+'May 26'!BQ13+'June 26'!BQ13</f>
        <v>0</v>
      </c>
      <c r="BT13" s="7">
        <f>'July 25'!BR13 + 'August 25'!BR13 +'Sept 25'!BR13 + 'Oct 25'!BR13 + 'Nov 25'!BR13+ 'Dec 25'!BR13 +'Jan 26'!BR13+'Feb 26'!BR13+'March 26'!BR13+'April 26'!BR13+'May 26'!BR13+'June 26'!BR13</f>
        <v>0</v>
      </c>
      <c r="BU13" s="7">
        <f>'July 25'!BS13 + 'August 25'!BS13 +'Sept 25'!BS13 + 'Oct 25'!BS13 + 'Nov 25'!BS13+ 'Dec 25'!BS13 +'Jan 26'!BS13+'Feb 26'!BS13+'March 26'!BS13+'April 26'!BS13+'May 26'!BS13+'June 26'!BS13</f>
        <v>0</v>
      </c>
      <c r="BV13" s="7">
        <f>'July 25'!BT13 + 'August 25'!BT13 +'Sept 25'!BT13 + 'Oct 25'!BT13 + 'Nov 25'!BT13+ 'Dec 25'!BT13 +'Jan 26'!BT13+'Feb 26'!BT13+'March 26'!BT13+'April 26'!BT13+'May 26'!BT13+'June 26'!BT13</f>
        <v>0</v>
      </c>
      <c r="BW13" s="7">
        <f>'July 25'!BU13 + 'August 25'!BU13 +'Sept 25'!BU13 + 'Oct 25'!BU13 + 'Nov 25'!BU13+ 'Dec 25'!BU13 +'Jan 26'!BU13+'Feb 26'!BU13+'March 26'!BU13+'April 26'!BU13+'May 26'!BU13+'June 26'!BU13</f>
        <v>0</v>
      </c>
      <c r="BX13" s="7">
        <f>'July 25'!BV13 + 'August 25'!BV13 +'Sept 25'!BV13 + 'Oct 25'!BV13 + 'Nov 25'!BV13+ 'Dec 25'!BV13 +'Jan 26'!BV13+'Feb 26'!BV13+'March 26'!BV13+'April 26'!BV13+'May 26'!BV13+'June 26'!BV13</f>
        <v>0</v>
      </c>
      <c r="BY13" s="7">
        <f>'July 25'!BW13 + 'August 25'!BW13 +'Sept 25'!BW13 + 'Oct 25'!BW13 + 'Nov 25'!BW13+ 'Dec 25'!BW13 +'Jan 26'!BW13+'Feb 26'!BW13+'March 26'!BW13+'April 26'!BW13+'May 26'!BW13+'June 26'!BW13</f>
        <v>0</v>
      </c>
      <c r="BZ13" s="7">
        <f>'July 25'!BX13 + 'August 25'!BX13 +'Sept 25'!BX13 + 'Oct 25'!BX13 + 'Nov 25'!BX13+ 'Dec 25'!BX13 +'Jan 26'!BX13+'Feb 26'!BX13+'March 26'!BX13+'April 26'!BX13+'May 26'!BX13+'June 26'!BX13</f>
        <v>0</v>
      </c>
      <c r="CA13" s="7">
        <f>'July 25'!BY13 + 'August 25'!BY13 +'Sept 25'!BY13 + 'Oct 25'!BY13 + 'Nov 25'!BY13+ 'Dec 25'!BY13 +'Jan 26'!BY13+'Feb 26'!BY13+'March 26'!BY13+'April 26'!BY13+'May 26'!BY13+'June 26'!BY13</f>
        <v>0</v>
      </c>
      <c r="CB13" s="7">
        <f>'July 25'!BZ13 + 'August 25'!BZ13 +'Sept 25'!BZ13 + 'Oct 25'!BZ13 + 'Nov 25'!BZ13+ 'Dec 25'!BZ13 +'Jan 26'!BZ13+'Feb 26'!BZ13+'March 26'!BZ13+'April 26'!BZ13+'May 26'!BZ13+'June 26'!BZ13</f>
        <v>0</v>
      </c>
      <c r="CC13" s="7">
        <f>'July 25'!CA13 + 'August 25'!CA13 +'Sept 25'!CA13 + 'Oct 25'!CA13 + 'Nov 25'!CA13+ 'Dec 25'!CA13 +'Jan 26'!CA13+'Feb 26'!CA13+'March 26'!CA13+'April 26'!CA13+'May 26'!CA13+'June 26'!CA13</f>
        <v>0</v>
      </c>
      <c r="CD13" s="7">
        <f>'July 25'!CB13 + 'August 25'!CB13 +'Sept 25'!CB13 + 'Oct 25'!CB13 + 'Nov 25'!CB13+ 'Dec 25'!CB13 +'Jan 26'!CB13+'Feb 26'!CB13+'March 26'!CB13+'April 26'!CB13+'May 26'!CB13+'June 26'!CB13</f>
        <v>0</v>
      </c>
      <c r="CE13" s="7">
        <f>'July 25'!CC13 + 'August 25'!CC13 +'Sept 25'!CC13 + 'Oct 25'!CC13 + 'Nov 25'!CC13+ 'Dec 25'!CC13 +'Jan 26'!CC13+'Feb 26'!CC13+'March 26'!CC13+'April 26'!CC13+'May 26'!CC13+'June 26'!CC13</f>
        <v>0</v>
      </c>
      <c r="CF13" s="8" cm="1">
        <f t="array" ref="CF13">SUMPRODUCT(--(UPPER($F$2:$CE$2)="NET NEW"),$F13:$CE13)</f>
        <v>1000</v>
      </c>
      <c r="CG13" s="3">
        <f>SUMIF($F$2:$CE$2,"Enhance Existing",$F13:$CE13)</f>
        <v>0</v>
      </c>
      <c r="CH13" s="3">
        <f>SUMIF($F$2:$CE$2,"Maintenance",$F13:$CE13)</f>
        <v>440</v>
      </c>
    </row>
    <row r="14" spans="1:86" ht="15.95">
      <c r="A14" s="7" t="s">
        <v>38</v>
      </c>
      <c r="B14" s="7" t="s">
        <v>39</v>
      </c>
      <c r="C14" s="7" t="s">
        <v>53</v>
      </c>
      <c r="D14" s="12">
        <v>148.125</v>
      </c>
      <c r="E14" s="7"/>
      <c r="F14" s="7">
        <f>'July 25'!D14 + 'August 25'!D14 +'Sept 25'!D14 + 'Oct 25'!D14 + 'Nov 25'!D14+ 'Dec 25'!D14 +'Jan 26'!D14+'Feb 26'!D14+'March 26'!D14+'April 26'!D14+'May 26'!D14+'June 26'!D14</f>
        <v>1440</v>
      </c>
      <c r="G14" s="7">
        <f>'July 25'!E14 + 'August 25'!E14 +'Sept 25'!E14 + 'Oct 25'!E14 + 'Nov 25'!E14+ 'Dec 25'!E14 +'Jan 26'!E14+'Feb 26'!E14+'March 26'!E14+'April 26'!E14+'May 26'!E14+'June 26'!E14</f>
        <v>0</v>
      </c>
      <c r="H14" s="7">
        <f>'July 25'!F14 + 'August 25'!F14 +'Sept 25'!F14 + 'Oct 25'!F14 + 'Nov 25'!F14+ 'Dec 25'!F14 +'Jan 26'!F14+'Feb 26'!F14+'March 26'!F14+'April 26'!F14+'May 26'!F14+'June 26'!F14</f>
        <v>0</v>
      </c>
      <c r="I14" s="7">
        <f>'July 25'!G14 + 'August 25'!G14 +'Sept 25'!G14 + 'Oct 25'!G14 + 'Nov 25'!G14+ 'Dec 25'!G14 +'Jan 26'!G14+'Feb 26'!G14+'March 26'!G14+'April 26'!G14+'May 26'!G14+'June 26'!G14</f>
        <v>0</v>
      </c>
      <c r="J14" s="7">
        <f>'July 25'!H14 + 'August 25'!H14 +'Sept 25'!H14 + 'Oct 25'!H14 + 'Nov 25'!H14+ 'Dec 25'!H14 +'Jan 26'!H14+'Feb 26'!H14+'March 26'!H14+'April 26'!H14+'May 26'!H14+'June 26'!H14</f>
        <v>0</v>
      </c>
      <c r="K14" s="7">
        <f>'July 25'!I14 + 'August 25'!I14 +'Sept 25'!I14 + 'Oct 25'!I14 + 'Nov 25'!I14+ 'Dec 25'!I14 +'Jan 26'!I14+'Feb 26'!I14+'March 26'!I14+'April 26'!I14+'May 26'!I14+'June 26'!I14</f>
        <v>0</v>
      </c>
      <c r="L14" s="7">
        <f>'July 25'!J14 + 'August 25'!J14 +'Sept 25'!J14 + 'Oct 25'!J14 + 'Nov 25'!J14+ 'Dec 25'!J14 +'Jan 26'!J14+'Feb 26'!J14+'March 26'!J14+'April 26'!J14+'May 26'!J14+'June 26'!J14</f>
        <v>0</v>
      </c>
      <c r="M14" s="7">
        <f>'July 25'!K14 + 'August 25'!K14 +'Sept 25'!K14 + 'Oct 25'!K14 + 'Nov 25'!K14+ 'Dec 25'!K14 +'Jan 26'!K14+'Feb 26'!K14+'March 26'!K14+'April 26'!K14+'May 26'!K14+'June 26'!K14</f>
        <v>0</v>
      </c>
      <c r="N14" s="7">
        <f>'July 25'!L14 + 'August 25'!L14 +'Sept 25'!L14 + 'Oct 25'!L14 + 'Nov 25'!L14+ 'Dec 25'!L14 +'Jan 26'!L14+'Feb 26'!L14+'March 26'!L14+'April 26'!L14+'May 26'!L14+'June 26'!L14</f>
        <v>0</v>
      </c>
      <c r="O14" s="7">
        <f>'July 25'!M14 + 'August 25'!M14 +'Sept 25'!M14 + 'Oct 25'!M14 + 'Nov 25'!M14+ 'Dec 25'!M14 +'Jan 26'!M14+'Feb 26'!M14+'March 26'!M14+'April 26'!M14+'May 26'!M14+'June 26'!M14</f>
        <v>0</v>
      </c>
      <c r="P14" s="7">
        <f>'July 25'!N14 + 'August 25'!N14 +'Sept 25'!N14 + 'Oct 25'!N14 + 'Nov 25'!N14+ 'Dec 25'!N14 +'Jan 26'!N14+'Feb 26'!N14+'March 26'!N14+'April 26'!N14+'May 26'!N14+'June 26'!N14</f>
        <v>0</v>
      </c>
      <c r="Q14" s="7">
        <f>'July 25'!O14 + 'August 25'!O14 +'Sept 25'!O14 + 'Oct 25'!O14 + 'Nov 25'!O14+ 'Dec 25'!O14 +'Jan 26'!O14+'Feb 26'!O14+'March 26'!O14+'April 26'!O14+'May 26'!O14+'June 26'!O14</f>
        <v>0</v>
      </c>
      <c r="R14" s="7">
        <f>'July 25'!P14 + 'August 25'!P14 +'Sept 25'!P14 + 'Oct 25'!P14 + 'Nov 25'!P14+ 'Dec 25'!P14 +'Jan 26'!P14+'Feb 26'!P14+'March 26'!P14+'April 26'!P14+'May 26'!P14+'June 26'!P14</f>
        <v>0</v>
      </c>
      <c r="S14" s="7">
        <f>'July 25'!Q14 + 'August 25'!Q14 +'Sept 25'!Q14 + 'Oct 25'!Q14 + 'Nov 25'!Q14+ 'Dec 25'!Q14 +'Jan 26'!Q14+'Feb 26'!Q14+'March 26'!Q14+'April 26'!Q14+'May 26'!Q14+'June 26'!Q14</f>
        <v>0</v>
      </c>
      <c r="T14" s="7">
        <f>'July 25'!R14 + 'August 25'!R14 +'Sept 25'!R14 + 'Oct 25'!R14 + 'Nov 25'!R14+ 'Dec 25'!R14 +'Jan 26'!R14+'Feb 26'!R14+'March 26'!R14+'April 26'!R14+'May 26'!R14+'June 26'!R14</f>
        <v>0</v>
      </c>
      <c r="U14" s="7">
        <f>'July 25'!S14 + 'August 25'!S14 +'Sept 25'!S14 + 'Oct 25'!S14 + 'Nov 25'!S14+ 'Dec 25'!S14 +'Jan 26'!S14+'Feb 26'!S14+'March 26'!S14+'April 26'!S14+'May 26'!S14+'June 26'!S14</f>
        <v>0</v>
      </c>
      <c r="V14" s="7">
        <f>'July 25'!T14 + 'August 25'!T14 +'Sept 25'!T14 + 'Oct 25'!T14 + 'Nov 25'!T14+ 'Dec 25'!T14 +'Jan 26'!T14+'Feb 26'!T14+'March 26'!T14+'April 26'!T14+'May 26'!T14+'June 26'!T14</f>
        <v>0</v>
      </c>
      <c r="W14" s="7">
        <f>'July 25'!U14 + 'August 25'!U14 +'Sept 25'!U14 + 'Oct 25'!U14 + 'Nov 25'!U14+ 'Dec 25'!U14 +'Jan 26'!U14+'Feb 26'!U14+'March 26'!U14+'April 26'!U14+'May 26'!U14+'June 26'!U14</f>
        <v>0</v>
      </c>
      <c r="X14" s="7">
        <f>'July 25'!V14 + 'August 25'!V14 +'Sept 25'!V14 + 'Oct 25'!V14 + 'Nov 25'!V14+ 'Dec 25'!V14 +'Jan 26'!V14+'Feb 26'!V14+'March 26'!V14+'April 26'!V14+'May 26'!V14+'June 26'!V14</f>
        <v>0</v>
      </c>
      <c r="Y14" s="7">
        <f>'July 25'!W14 + 'August 25'!W14 +'Sept 25'!W14 + 'Oct 25'!W14 + 'Nov 25'!W14+ 'Dec 25'!W14 +'Jan 26'!W14+'Feb 26'!W14+'March 26'!W14+'April 26'!W14+'May 26'!W14+'June 26'!W14</f>
        <v>0</v>
      </c>
      <c r="Z14" s="7">
        <f>'July 25'!X14 + 'August 25'!X14 +'Sept 25'!X14 + 'Oct 25'!X14 + 'Nov 25'!X14+ 'Dec 25'!X14 +'Jan 26'!X14+'Feb 26'!X14+'March 26'!X14+'April 26'!X14+'May 26'!X14+'June 26'!X14</f>
        <v>0</v>
      </c>
      <c r="AA14" s="7">
        <f>'July 25'!Y14 + 'August 25'!Y14 +'Sept 25'!Y14 + 'Oct 25'!Y14 + 'Nov 25'!Y14+ 'Dec 25'!Y14 +'Jan 26'!Y14+'Feb 26'!Y14+'March 26'!Y14+'April 26'!Y14+'May 26'!Y14+'June 26'!Y14</f>
        <v>0</v>
      </c>
      <c r="AB14" s="7">
        <f>'July 25'!Z14 + 'August 25'!Z14 +'Sept 25'!Z14 + 'Oct 25'!Z14 + 'Nov 25'!Z14+ 'Dec 25'!Z14 +'Jan 26'!Z14+'Feb 26'!Z14+'March 26'!Z14+'April 26'!Z14+'May 26'!Z14+'June 26'!Z14</f>
        <v>0</v>
      </c>
      <c r="AC14" s="7">
        <f>'July 25'!AA14 + 'August 25'!AA14 +'Sept 25'!AA14 + 'Oct 25'!AA14 + 'Nov 25'!AA14+ 'Dec 25'!AA14 +'Jan 26'!AA14+'Feb 26'!AA14+'March 26'!AA14+'April 26'!AA14+'May 26'!AA14+'June 26'!AA14</f>
        <v>0</v>
      </c>
      <c r="AD14" s="7">
        <f>'July 25'!AB14 + 'August 25'!AB14 +'Sept 25'!AB14 + 'Oct 25'!AB14 + 'Nov 25'!AB14+ 'Dec 25'!AB14 +'Jan 26'!AB14+'Feb 26'!AB14+'March 26'!AB14+'April 26'!AB14+'May 26'!AB14+'June 26'!AB14</f>
        <v>0</v>
      </c>
      <c r="AE14" s="7">
        <f>'July 25'!AC14 + 'August 25'!AC14 +'Sept 25'!AC14 + 'Oct 25'!AC14 + 'Nov 25'!AC14+ 'Dec 25'!AC14 +'Jan 26'!AC14+'Feb 26'!AC14+'March 26'!AC14+'April 26'!AC14+'May 26'!AC14+'June 26'!AC14</f>
        <v>0</v>
      </c>
      <c r="AF14" s="7">
        <f>'July 25'!AD14 + 'August 25'!AD14 +'Sept 25'!AD14 + 'Oct 25'!AD14 + 'Nov 25'!AD14+ 'Dec 25'!AD14 +'Jan 26'!AD14+'Feb 26'!AD14+'March 26'!AD14+'April 26'!AD14+'May 26'!AD14+'June 26'!AD14</f>
        <v>0</v>
      </c>
      <c r="AG14" s="7">
        <f>'July 25'!AE14 + 'August 25'!AE14 +'Sept 25'!AE14 + 'Oct 25'!AE14 + 'Nov 25'!AE14+ 'Dec 25'!AE14 +'Jan 26'!AE14+'Feb 26'!AE14+'March 26'!AE14+'April 26'!AE14+'May 26'!AE14+'June 26'!AE14</f>
        <v>0</v>
      </c>
      <c r="AH14" s="7">
        <f>'July 25'!AF14 + 'August 25'!AF14 +'Sept 25'!AF14 + 'Oct 25'!AF14 + 'Nov 25'!AF14+ 'Dec 25'!AF14 +'Jan 26'!AF14+'Feb 26'!AF14+'March 26'!AF14+'April 26'!AF14+'May 26'!AF14+'June 26'!AF14</f>
        <v>0</v>
      </c>
      <c r="AI14" s="7">
        <f>'July 25'!AG14 + 'August 25'!AG14 +'Sept 25'!AG14 + 'Oct 25'!AG14 + 'Nov 25'!AG14+ 'Dec 25'!AG14 +'Jan 26'!AG14+'Feb 26'!AG14+'March 26'!AG14+'April 26'!AG14+'May 26'!AG14+'June 26'!AG14</f>
        <v>0</v>
      </c>
      <c r="AJ14" s="7">
        <f>'July 25'!AH14 + 'August 25'!AH14 +'Sept 25'!AH14 + 'Oct 25'!AH14 + 'Nov 25'!AH14+ 'Dec 25'!AH14 +'Jan 26'!AH14+'Feb 26'!AH14+'March 26'!AH14+'April 26'!AH14+'May 26'!AH14+'June 26'!AH14</f>
        <v>0</v>
      </c>
      <c r="AK14" s="7">
        <f>'July 25'!AI14 + 'August 25'!AI14 +'Sept 25'!AI14 + 'Oct 25'!AI14 + 'Nov 25'!AI14+ 'Dec 25'!AI14 +'Jan 26'!AI14+'Feb 26'!AI14+'March 26'!AI14+'April 26'!AI14+'May 26'!AI14+'June 26'!AI14</f>
        <v>0</v>
      </c>
      <c r="AL14" s="7">
        <f>'July 25'!AJ14 + 'August 25'!AJ14 +'Sept 25'!AJ14 + 'Oct 25'!AJ14 + 'Nov 25'!AJ14+ 'Dec 25'!AJ14 +'Jan 26'!AJ14+'Feb 26'!AJ14+'March 26'!AJ14+'April 26'!AJ14+'May 26'!AJ14+'June 26'!AJ14</f>
        <v>0</v>
      </c>
      <c r="AM14" s="7">
        <f>'July 25'!AK14 + 'August 25'!AK14 +'Sept 25'!AK14 + 'Oct 25'!AK14 + 'Nov 25'!AK14+ 'Dec 25'!AK14 +'Jan 26'!AK14+'Feb 26'!AK14+'March 26'!AK14+'April 26'!AK14+'May 26'!AK14+'June 26'!AK14</f>
        <v>0</v>
      </c>
      <c r="AN14" s="7">
        <f>'July 25'!AL14 + 'August 25'!AL14 +'Sept 25'!AL14 + 'Oct 25'!AL14 + 'Nov 25'!AL14+ 'Dec 25'!AL14 +'Jan 26'!AL14+'Feb 26'!AL14+'March 26'!AL14+'April 26'!AL14+'May 26'!AL14+'June 26'!AL14</f>
        <v>0</v>
      </c>
      <c r="AO14" s="7">
        <f>'July 25'!AM14 + 'August 25'!AM14 +'Sept 25'!AM14 + 'Oct 25'!AM14 + 'Nov 25'!AM14+ 'Dec 25'!AM14 +'Jan 26'!AM14+'Feb 26'!AM14+'March 26'!AM14+'April 26'!AM14+'May 26'!AM14+'June 26'!AM14</f>
        <v>0</v>
      </c>
      <c r="AP14" s="7">
        <f>'July 25'!AN14 + 'August 25'!AN14 +'Sept 25'!AN14 + 'Oct 25'!AN14 + 'Nov 25'!AN14+ 'Dec 25'!AN14 +'Jan 26'!AN14+'Feb 26'!AN14+'March 26'!AN14+'April 26'!AN14+'May 26'!AN14+'June 26'!AN14</f>
        <v>0</v>
      </c>
      <c r="AQ14" s="7">
        <f>'July 25'!AO14 + 'August 25'!AO14 +'Sept 25'!AO14 + 'Oct 25'!AO14 + 'Nov 25'!AO14+ 'Dec 25'!AO14 +'Jan 26'!AO14+'Feb 26'!AO14+'March 26'!AO14+'April 26'!AO14+'May 26'!AO14+'June 26'!AO14</f>
        <v>0</v>
      </c>
      <c r="AR14" s="7">
        <f>'July 25'!AP14 + 'August 25'!AP14 +'Sept 25'!AP14 + 'Oct 25'!AP14 + 'Nov 25'!AP14+ 'Dec 25'!AP14 +'Jan 26'!AP14+'Feb 26'!AP14+'March 26'!AP14+'April 26'!AP14+'May 26'!AP14+'June 26'!AP14</f>
        <v>0</v>
      </c>
      <c r="AS14" s="7">
        <f>'July 25'!AQ14 + 'August 25'!AQ14 +'Sept 25'!AQ14 + 'Oct 25'!AQ14 + 'Nov 25'!AQ14+ 'Dec 25'!AQ14 +'Jan 26'!AQ14+'Feb 26'!AQ14+'March 26'!AQ14+'April 26'!AQ14+'May 26'!AQ14+'June 26'!AQ14</f>
        <v>0</v>
      </c>
      <c r="AT14" s="7">
        <f>'July 25'!AR14 + 'August 25'!AR14 +'Sept 25'!AR14 + 'Oct 25'!AR14 + 'Nov 25'!AR14+ 'Dec 25'!AR14 +'Jan 26'!AR14+'Feb 26'!AR14+'March 26'!AR14+'April 26'!AR14+'May 26'!AR14+'June 26'!AR14</f>
        <v>0</v>
      </c>
      <c r="AU14" s="7">
        <f>'July 25'!AS14 + 'August 25'!AS14 +'Sept 25'!AS14 + 'Oct 25'!AS14 + 'Nov 25'!AS14+ 'Dec 25'!AS14 +'Jan 26'!AS14+'Feb 26'!AS14+'March 26'!AS14+'April 26'!AS14+'May 26'!AS14+'June 26'!AS14</f>
        <v>0</v>
      </c>
      <c r="AV14" s="7">
        <f>'July 25'!AT14 + 'August 25'!AT14 +'Sept 25'!AT14 + 'Oct 25'!AT14 + 'Nov 25'!AT14+ 'Dec 25'!AT14 +'Jan 26'!AT14+'Feb 26'!AT14+'March 26'!AT14+'April 26'!AT14+'May 26'!AT14+'June 26'!AT14</f>
        <v>0</v>
      </c>
      <c r="AW14" s="7">
        <f>'July 25'!AU14 + 'August 25'!AU14 +'Sept 25'!AU14 + 'Oct 25'!AU14 + 'Nov 25'!AU14+ 'Dec 25'!AU14 +'Jan 26'!AU14+'Feb 26'!AU14+'March 26'!AU14+'April 26'!AU14+'May 26'!AU14+'June 26'!AU14</f>
        <v>0</v>
      </c>
      <c r="AX14" s="7">
        <f>'July 25'!AV14 + 'August 25'!AV14 +'Sept 25'!AV14 + 'Oct 25'!AV14 + 'Nov 25'!AV14+ 'Dec 25'!AV14 +'Jan 26'!AV14+'Feb 26'!AV14+'March 26'!AV14+'April 26'!AV14+'May 26'!AV14+'June 26'!AV14</f>
        <v>0</v>
      </c>
      <c r="AY14" s="7">
        <f>'July 25'!AW14 + 'August 25'!AW14 +'Sept 25'!AW14 + 'Oct 25'!AW14 + 'Nov 25'!AW14+ 'Dec 25'!AW14 +'Jan 26'!AW14+'Feb 26'!AW14+'March 26'!AW14+'April 26'!AW14+'May 26'!AW14+'June 26'!AW14</f>
        <v>0</v>
      </c>
      <c r="AZ14" s="7">
        <f>'July 25'!AX14 + 'August 25'!AX14 +'Sept 25'!AX14 + 'Oct 25'!AX14 + 'Nov 25'!AX14+ 'Dec 25'!AX14 +'Jan 26'!AX14+'Feb 26'!AX14+'March 26'!AX14+'April 26'!AX14+'May 26'!AX14+'June 26'!AX14</f>
        <v>0</v>
      </c>
      <c r="BA14" s="7">
        <f>'July 25'!AY14 + 'August 25'!AY14 +'Sept 25'!AY14 + 'Oct 25'!AY14 + 'Nov 25'!AY14+ 'Dec 25'!AY14 +'Jan 26'!AY14+'Feb 26'!AY14+'March 26'!AY14+'April 26'!AY14+'May 26'!AY14+'June 26'!AY14</f>
        <v>0</v>
      </c>
      <c r="BB14" s="7">
        <f>'July 25'!AZ14 + 'August 25'!AZ14 +'Sept 25'!AZ14 + 'Oct 25'!AZ14 + 'Nov 25'!AZ14+ 'Dec 25'!AZ14 +'Jan 26'!AZ14+'Feb 26'!AZ14+'March 26'!AZ14+'April 26'!AZ14+'May 26'!AZ14+'June 26'!AZ14</f>
        <v>0</v>
      </c>
      <c r="BC14" s="7">
        <f>'July 25'!BA14 + 'August 25'!BA14 +'Sept 25'!BA14 + 'Oct 25'!BA14 + 'Nov 25'!BA14+ 'Dec 25'!BA14 +'Jan 26'!BA14+'Feb 26'!BA14+'March 26'!BA14+'April 26'!BA14+'May 26'!BA14+'June 26'!BA14</f>
        <v>0</v>
      </c>
      <c r="BD14" s="7">
        <f>'July 25'!BB14 + 'August 25'!BB14 +'Sept 25'!BB14 + 'Oct 25'!BB14 + 'Nov 25'!BB14+ 'Dec 25'!BB14 +'Jan 26'!BB14+'Feb 26'!BB14+'March 26'!BB14+'April 26'!BB14+'May 26'!BB14+'June 26'!BB14</f>
        <v>0</v>
      </c>
      <c r="BE14" s="7">
        <f>'July 25'!BC14 + 'August 25'!BC14 +'Sept 25'!BC14 + 'Oct 25'!BC14 + 'Nov 25'!BC14+ 'Dec 25'!BC14 +'Jan 26'!BC14+'Feb 26'!BC14+'March 26'!BC14+'April 26'!BC14+'May 26'!BC14+'June 26'!BC14</f>
        <v>0</v>
      </c>
      <c r="BF14" s="7">
        <f>'July 25'!BD14 + 'August 25'!BD14 +'Sept 25'!BD14 + 'Oct 25'!BD14 + 'Nov 25'!BD14+ 'Dec 25'!BD14 +'Jan 26'!BD14+'Feb 26'!BD14+'March 26'!BD14+'April 26'!BD14+'May 26'!BD14+'June 26'!BD14</f>
        <v>0</v>
      </c>
      <c r="BG14" s="7">
        <f>'July 25'!BE14 + 'August 25'!BE14 +'Sept 25'!BE14 + 'Oct 25'!BE14 + 'Nov 25'!BE14+ 'Dec 25'!BE14 +'Jan 26'!BE14+'Feb 26'!BE14+'March 26'!BE14+'April 26'!BE14+'May 26'!BE14+'June 26'!BE14</f>
        <v>0</v>
      </c>
      <c r="BH14" s="7">
        <f>'July 25'!BF14 + 'August 25'!BF14 +'Sept 25'!BF14 + 'Oct 25'!BF14 + 'Nov 25'!BF14+ 'Dec 25'!BF14 +'Jan 26'!BF14+'Feb 26'!BF14+'March 26'!BF14+'April 26'!BF14+'May 26'!BF14+'June 26'!BF14</f>
        <v>0</v>
      </c>
      <c r="BI14" s="7">
        <f>'July 25'!BG14 + 'August 25'!BG14 +'Sept 25'!BG14 + 'Oct 25'!BG14 + 'Nov 25'!BG14+ 'Dec 25'!BG14 +'Jan 26'!BG14+'Feb 26'!BG14+'March 26'!BG14+'April 26'!BG14+'May 26'!BG14+'June 26'!BG14</f>
        <v>0</v>
      </c>
      <c r="BJ14" s="7">
        <f>'July 25'!BH14 + 'August 25'!BH14 +'Sept 25'!BH14 + 'Oct 25'!BH14 + 'Nov 25'!BH14+ 'Dec 25'!BH14 +'Jan 26'!BH14+'Feb 26'!BH14+'March 26'!BH14+'April 26'!BH14+'May 26'!BH14+'June 26'!BH14</f>
        <v>0</v>
      </c>
      <c r="BK14" s="7">
        <f>'July 25'!BI14 + 'August 25'!BI14 +'Sept 25'!BI14 + 'Oct 25'!BI14 + 'Nov 25'!BI14+ 'Dec 25'!BI14 +'Jan 26'!BI14+'Feb 26'!BI14+'March 26'!BI14+'April 26'!BI14+'May 26'!BI14+'June 26'!BI14</f>
        <v>0</v>
      </c>
      <c r="BL14" s="7">
        <f>'July 25'!BJ14 + 'August 25'!BJ14 +'Sept 25'!BJ14 + 'Oct 25'!BJ14 + 'Nov 25'!BJ14+ 'Dec 25'!BJ14 +'Jan 26'!BJ14+'Feb 26'!BJ14+'March 26'!BJ14+'April 26'!BJ14+'May 26'!BJ14+'June 26'!BJ14</f>
        <v>0</v>
      </c>
      <c r="BM14" s="7">
        <f>'July 25'!BK14 + 'August 25'!BK14 +'Sept 25'!BK14 + 'Oct 25'!BK14 + 'Nov 25'!BK14+ 'Dec 25'!BK14 +'Jan 26'!BK14+'Feb 26'!BK14+'March 26'!BK14+'April 26'!BK14+'May 26'!BK14+'June 26'!BK14</f>
        <v>0</v>
      </c>
      <c r="BN14" s="7">
        <f>'July 25'!BL14 + 'August 25'!BL14 +'Sept 25'!BL14 + 'Oct 25'!BL14 + 'Nov 25'!BL14+ 'Dec 25'!BL14 +'Jan 26'!BL14+'Feb 26'!BL14+'March 26'!BL14+'April 26'!BL14+'May 26'!BL14+'June 26'!BL14</f>
        <v>0</v>
      </c>
      <c r="BO14" s="7">
        <f>'July 25'!BM14 + 'August 25'!BM14 +'Sept 25'!BM14 + 'Oct 25'!BM14 + 'Nov 25'!BM14+ 'Dec 25'!BM14 +'Jan 26'!BM14+'Feb 26'!BM14+'March 26'!BM14+'April 26'!BM14+'May 26'!BM14+'June 26'!BM14</f>
        <v>0</v>
      </c>
      <c r="BP14" s="7">
        <f>'July 25'!BN14 + 'August 25'!BN14 +'Sept 25'!BN14 + 'Oct 25'!BN14 + 'Nov 25'!BN14+ 'Dec 25'!BN14 +'Jan 26'!BN14+'Feb 26'!BN14+'March 26'!BN14+'April 26'!BN14+'May 26'!BN14+'June 26'!BN14</f>
        <v>0</v>
      </c>
      <c r="BQ14" s="7">
        <f>'July 25'!BO14 + 'August 25'!BO14 +'Sept 25'!BO14 + 'Oct 25'!BO14 + 'Nov 25'!BO14+ 'Dec 25'!BO14 +'Jan 26'!BO14+'Feb 26'!BO14+'March 26'!BO14+'April 26'!BO14+'May 26'!BO14+'June 26'!BO14</f>
        <v>0</v>
      </c>
      <c r="BR14" s="7">
        <f>'July 25'!BP14 + 'August 25'!BP14 +'Sept 25'!BP14 + 'Oct 25'!BP14 + 'Nov 25'!BP14+ 'Dec 25'!BP14 +'Jan 26'!BP14+'Feb 26'!BP14+'March 26'!BP14+'April 26'!BP14+'May 26'!BP14+'June 26'!BP14</f>
        <v>0</v>
      </c>
      <c r="BS14" s="7">
        <f>'July 25'!BQ14 + 'August 25'!BQ14 +'Sept 25'!BQ14 + 'Oct 25'!BQ14 + 'Nov 25'!BQ14+ 'Dec 25'!BQ14 +'Jan 26'!BQ14+'Feb 26'!BQ14+'March 26'!BQ14+'April 26'!BQ14+'May 26'!BQ14+'June 26'!BQ14</f>
        <v>0</v>
      </c>
      <c r="BT14" s="7">
        <f>'July 25'!BR14 + 'August 25'!BR14 +'Sept 25'!BR14 + 'Oct 25'!BR14 + 'Nov 25'!BR14+ 'Dec 25'!BR14 +'Jan 26'!BR14+'Feb 26'!BR14+'March 26'!BR14+'April 26'!BR14+'May 26'!BR14+'June 26'!BR14</f>
        <v>0</v>
      </c>
      <c r="BU14" s="7">
        <f>'July 25'!BS14 + 'August 25'!BS14 +'Sept 25'!BS14 + 'Oct 25'!BS14 + 'Nov 25'!BS14+ 'Dec 25'!BS14 +'Jan 26'!BS14+'Feb 26'!BS14+'March 26'!BS14+'April 26'!BS14+'May 26'!BS14+'June 26'!BS14</f>
        <v>0</v>
      </c>
      <c r="BV14" s="7">
        <f>'July 25'!BT14 + 'August 25'!BT14 +'Sept 25'!BT14 + 'Oct 25'!BT14 + 'Nov 25'!BT14+ 'Dec 25'!BT14 +'Jan 26'!BT14+'Feb 26'!BT14+'March 26'!BT14+'April 26'!BT14+'May 26'!BT14+'June 26'!BT14</f>
        <v>0</v>
      </c>
      <c r="BW14" s="7">
        <f>'July 25'!BU14 + 'August 25'!BU14 +'Sept 25'!BU14 + 'Oct 25'!BU14 + 'Nov 25'!BU14+ 'Dec 25'!BU14 +'Jan 26'!BU14+'Feb 26'!BU14+'March 26'!BU14+'April 26'!BU14+'May 26'!BU14+'June 26'!BU14</f>
        <v>0</v>
      </c>
      <c r="BX14" s="7">
        <f>'July 25'!BV14 + 'August 25'!BV14 +'Sept 25'!BV14 + 'Oct 25'!BV14 + 'Nov 25'!BV14+ 'Dec 25'!BV14 +'Jan 26'!BV14+'Feb 26'!BV14+'March 26'!BV14+'April 26'!BV14+'May 26'!BV14+'June 26'!BV14</f>
        <v>0</v>
      </c>
      <c r="BY14" s="7">
        <f>'July 25'!BW14 + 'August 25'!BW14 +'Sept 25'!BW14 + 'Oct 25'!BW14 + 'Nov 25'!BW14+ 'Dec 25'!BW14 +'Jan 26'!BW14+'Feb 26'!BW14+'March 26'!BW14+'April 26'!BW14+'May 26'!BW14+'June 26'!BW14</f>
        <v>0</v>
      </c>
      <c r="BZ14" s="7">
        <f>'July 25'!BX14 + 'August 25'!BX14 +'Sept 25'!BX14 + 'Oct 25'!BX14 + 'Nov 25'!BX14+ 'Dec 25'!BX14 +'Jan 26'!BX14+'Feb 26'!BX14+'March 26'!BX14+'April 26'!BX14+'May 26'!BX14+'June 26'!BX14</f>
        <v>0</v>
      </c>
      <c r="CA14" s="7">
        <f>'July 25'!BY14 + 'August 25'!BY14 +'Sept 25'!BY14 + 'Oct 25'!BY14 + 'Nov 25'!BY14+ 'Dec 25'!BY14 +'Jan 26'!BY14+'Feb 26'!BY14+'March 26'!BY14+'April 26'!BY14+'May 26'!BY14+'June 26'!BY14</f>
        <v>0</v>
      </c>
      <c r="CB14" s="7">
        <f>'July 25'!BZ14 + 'August 25'!BZ14 +'Sept 25'!BZ14 + 'Oct 25'!BZ14 + 'Nov 25'!BZ14+ 'Dec 25'!BZ14 +'Jan 26'!BZ14+'Feb 26'!BZ14+'March 26'!BZ14+'April 26'!BZ14+'May 26'!BZ14+'June 26'!BZ14</f>
        <v>0</v>
      </c>
      <c r="CC14" s="7">
        <f>'July 25'!CA14 + 'August 25'!CA14 +'Sept 25'!CA14 + 'Oct 25'!CA14 + 'Nov 25'!CA14+ 'Dec 25'!CA14 +'Jan 26'!CA14+'Feb 26'!CA14+'March 26'!CA14+'April 26'!CA14+'May 26'!CA14+'June 26'!CA14</f>
        <v>0</v>
      </c>
      <c r="CD14" s="7">
        <f>'July 25'!CB14 + 'August 25'!CB14 +'Sept 25'!CB14 + 'Oct 25'!CB14 + 'Nov 25'!CB14+ 'Dec 25'!CB14 +'Jan 26'!CB14+'Feb 26'!CB14+'March 26'!CB14+'April 26'!CB14+'May 26'!CB14+'June 26'!CB14</f>
        <v>0</v>
      </c>
      <c r="CE14" s="7">
        <f>'July 25'!CC14 + 'August 25'!CC14 +'Sept 25'!CC14 + 'Oct 25'!CC14 + 'Nov 25'!CC14+ 'Dec 25'!CC14 +'Jan 26'!CC14+'Feb 26'!CC14+'March 26'!CC14+'April 26'!CC14+'May 26'!CC14+'June 26'!CC14</f>
        <v>0</v>
      </c>
      <c r="CF14" s="8" cm="1">
        <f t="array" ref="CF14">SUMPRODUCT(--(UPPER($F$2:$CE$2)="NET NEW"),$F14:$CE14)</f>
        <v>1440</v>
      </c>
      <c r="CG14" s="3">
        <f>SUMIF($F$2:$CE$2,"Enhance Existing",$F14:$CE14)</f>
        <v>0</v>
      </c>
      <c r="CH14" s="3">
        <f>SUMIF($F$2:$CE$2,"Maintenance",$F14:$CE14)</f>
        <v>0</v>
      </c>
    </row>
    <row r="15" spans="1:86" ht="15.95">
      <c r="A15" s="7" t="s">
        <v>41</v>
      </c>
      <c r="B15" s="7" t="s">
        <v>39</v>
      </c>
      <c r="C15" s="7" t="s">
        <v>54</v>
      </c>
      <c r="D15" s="12">
        <v>30</v>
      </c>
      <c r="E15" s="7"/>
      <c r="F15" s="7">
        <f>'July 25'!D15 + 'August 25'!D15 +'Sept 25'!D15 + 'Oct 25'!D15 + 'Nov 25'!D15+ 'Dec 25'!D15 +'Jan 26'!D15+'Feb 26'!D15+'March 26'!D15+'April 26'!D15+'May 26'!D15+'June 26'!D15</f>
        <v>0</v>
      </c>
      <c r="G15" s="7">
        <f>'July 25'!E15 + 'August 25'!E15 +'Sept 25'!E15 + 'Oct 25'!E15 + 'Nov 25'!E15+ 'Dec 25'!E15 +'Jan 26'!E15+'Feb 26'!E15+'March 26'!E15+'April 26'!E15+'May 26'!E15+'June 26'!E15</f>
        <v>0</v>
      </c>
      <c r="H15" s="7">
        <f>'July 25'!F15 + 'August 25'!F15 +'Sept 25'!F15 + 'Oct 25'!F15 + 'Nov 25'!F15+ 'Dec 25'!F15 +'Jan 26'!F15+'Feb 26'!F15+'March 26'!F15+'April 26'!F15+'May 26'!F15+'June 26'!F15</f>
        <v>0</v>
      </c>
      <c r="I15" s="7">
        <f>'July 25'!G15 + 'August 25'!G15 +'Sept 25'!G15 + 'Oct 25'!G15 + 'Nov 25'!G15+ 'Dec 25'!G15 +'Jan 26'!G15+'Feb 26'!G15+'March 26'!G15+'April 26'!G15+'May 26'!G15+'June 26'!G15</f>
        <v>0</v>
      </c>
      <c r="J15" s="7">
        <f>'July 25'!H15 + 'August 25'!H15 +'Sept 25'!H15 + 'Oct 25'!H15 + 'Nov 25'!H15+ 'Dec 25'!H15 +'Jan 26'!H15+'Feb 26'!H15+'March 26'!H15+'April 26'!H15+'May 26'!H15+'June 26'!H15</f>
        <v>0</v>
      </c>
      <c r="K15" s="7">
        <f>'July 25'!I15 + 'August 25'!I15 +'Sept 25'!I15 + 'Oct 25'!I15 + 'Nov 25'!I15+ 'Dec 25'!I15 +'Jan 26'!I15+'Feb 26'!I15+'March 26'!I15+'April 26'!I15+'May 26'!I15+'June 26'!I15</f>
        <v>0</v>
      </c>
      <c r="L15" s="7">
        <f>'July 25'!J15 + 'August 25'!J15 +'Sept 25'!J15 + 'Oct 25'!J15 + 'Nov 25'!J15+ 'Dec 25'!J15 +'Jan 26'!J15+'Feb 26'!J15+'March 26'!J15+'April 26'!J15+'May 26'!J15+'June 26'!J15</f>
        <v>0</v>
      </c>
      <c r="M15" s="7">
        <f>'July 25'!K15 + 'August 25'!K15 +'Sept 25'!K15 + 'Oct 25'!K15 + 'Nov 25'!K15+ 'Dec 25'!K15 +'Jan 26'!K15+'Feb 26'!K15+'March 26'!K15+'April 26'!K15+'May 26'!K15+'June 26'!K15</f>
        <v>0</v>
      </c>
      <c r="N15" s="7">
        <f>'July 25'!L15 + 'August 25'!L15 +'Sept 25'!L15 + 'Oct 25'!L15 + 'Nov 25'!L15+ 'Dec 25'!L15 +'Jan 26'!L15+'Feb 26'!L15+'March 26'!L15+'April 26'!L15+'May 26'!L15+'June 26'!L15</f>
        <v>0</v>
      </c>
      <c r="O15" s="7">
        <f>'July 25'!M15 + 'August 25'!M15 +'Sept 25'!M15 + 'Oct 25'!M15 + 'Nov 25'!M15+ 'Dec 25'!M15 +'Jan 26'!M15+'Feb 26'!M15+'March 26'!M15+'April 26'!M15+'May 26'!M15+'June 26'!M15</f>
        <v>0</v>
      </c>
      <c r="P15" s="7">
        <f>'July 25'!N15 + 'August 25'!N15 +'Sept 25'!N15 + 'Oct 25'!N15 + 'Nov 25'!N15+ 'Dec 25'!N15 +'Jan 26'!N15+'Feb 26'!N15+'March 26'!N15+'April 26'!N15+'May 26'!N15+'June 26'!N15</f>
        <v>0</v>
      </c>
      <c r="Q15" s="7">
        <f>'July 25'!O15 + 'August 25'!O15 +'Sept 25'!O15 + 'Oct 25'!O15 + 'Nov 25'!O15+ 'Dec 25'!O15 +'Jan 26'!O15+'Feb 26'!O15+'March 26'!O15+'April 26'!O15+'May 26'!O15+'June 26'!O15</f>
        <v>0</v>
      </c>
      <c r="R15" s="7">
        <f>'July 25'!P15 + 'August 25'!P15 +'Sept 25'!P15 + 'Oct 25'!P15 + 'Nov 25'!P15+ 'Dec 25'!P15 +'Jan 26'!P15+'Feb 26'!P15+'March 26'!P15+'April 26'!P15+'May 26'!P15+'June 26'!P15</f>
        <v>0</v>
      </c>
      <c r="S15" s="7">
        <f>'July 25'!Q15 + 'August 25'!Q15 +'Sept 25'!Q15 + 'Oct 25'!Q15 + 'Nov 25'!Q15+ 'Dec 25'!Q15 +'Jan 26'!Q15+'Feb 26'!Q15+'March 26'!Q15+'April 26'!Q15+'May 26'!Q15+'June 26'!Q15</f>
        <v>0</v>
      </c>
      <c r="T15" s="7">
        <f>'July 25'!R15 + 'August 25'!R15 +'Sept 25'!R15 + 'Oct 25'!R15 + 'Nov 25'!R15+ 'Dec 25'!R15 +'Jan 26'!R15+'Feb 26'!R15+'March 26'!R15+'April 26'!R15+'May 26'!R15+'June 26'!R15</f>
        <v>0</v>
      </c>
      <c r="U15" s="7">
        <f>'July 25'!S15 + 'August 25'!S15 +'Sept 25'!S15 + 'Oct 25'!S15 + 'Nov 25'!S15+ 'Dec 25'!S15 +'Jan 26'!S15+'Feb 26'!S15+'March 26'!S15+'April 26'!S15+'May 26'!S15+'June 26'!S15</f>
        <v>0</v>
      </c>
      <c r="V15" s="7">
        <f>'July 25'!T15 + 'August 25'!T15 +'Sept 25'!T15 + 'Oct 25'!T15 + 'Nov 25'!T15+ 'Dec 25'!T15 +'Jan 26'!T15+'Feb 26'!T15+'March 26'!T15+'April 26'!T15+'May 26'!T15+'June 26'!T15</f>
        <v>0</v>
      </c>
      <c r="W15" s="7">
        <f>'July 25'!U15 + 'August 25'!U15 +'Sept 25'!U15 + 'Oct 25'!U15 + 'Nov 25'!U15+ 'Dec 25'!U15 +'Jan 26'!U15+'Feb 26'!U15+'March 26'!U15+'April 26'!U15+'May 26'!U15+'June 26'!U15</f>
        <v>0</v>
      </c>
      <c r="X15" s="7">
        <f>'July 25'!V15 + 'August 25'!V15 +'Sept 25'!V15 + 'Oct 25'!V15 + 'Nov 25'!V15+ 'Dec 25'!V15 +'Jan 26'!V15+'Feb 26'!V15+'March 26'!V15+'April 26'!V15+'May 26'!V15+'June 26'!V15</f>
        <v>0</v>
      </c>
      <c r="Y15" s="7">
        <f>'July 25'!W15 + 'August 25'!W15 +'Sept 25'!W15 + 'Oct 25'!W15 + 'Nov 25'!W15+ 'Dec 25'!W15 +'Jan 26'!W15+'Feb 26'!W15+'March 26'!W15+'April 26'!W15+'May 26'!W15+'June 26'!W15</f>
        <v>0</v>
      </c>
      <c r="Z15" s="7">
        <f>'July 25'!X15 + 'August 25'!X15 +'Sept 25'!X15 + 'Oct 25'!X15 + 'Nov 25'!X15+ 'Dec 25'!X15 +'Jan 26'!X15+'Feb 26'!X15+'March 26'!X15+'April 26'!X15+'May 26'!X15+'June 26'!X15</f>
        <v>720</v>
      </c>
      <c r="AA15" s="7">
        <f>'July 25'!Y15 + 'August 25'!Y15 +'Sept 25'!Y15 + 'Oct 25'!Y15 + 'Nov 25'!Y15+ 'Dec 25'!Y15 +'Jan 26'!Y15+'Feb 26'!Y15+'March 26'!Y15+'April 26'!Y15+'May 26'!Y15+'June 26'!Y15</f>
        <v>0</v>
      </c>
      <c r="AB15" s="7">
        <f>'July 25'!Z15 + 'August 25'!Z15 +'Sept 25'!Z15 + 'Oct 25'!Z15 + 'Nov 25'!Z15+ 'Dec 25'!Z15 +'Jan 26'!Z15+'Feb 26'!Z15+'March 26'!Z15+'April 26'!Z15+'May 26'!Z15+'June 26'!Z15</f>
        <v>0</v>
      </c>
      <c r="AC15" s="7">
        <f>'July 25'!AA15 + 'August 25'!AA15 +'Sept 25'!AA15 + 'Oct 25'!AA15 + 'Nov 25'!AA15+ 'Dec 25'!AA15 +'Jan 26'!AA15+'Feb 26'!AA15+'March 26'!AA15+'April 26'!AA15+'May 26'!AA15+'June 26'!AA15</f>
        <v>0</v>
      </c>
      <c r="AD15" s="7">
        <f>'July 25'!AB15 + 'August 25'!AB15 +'Sept 25'!AB15 + 'Oct 25'!AB15 + 'Nov 25'!AB15+ 'Dec 25'!AB15 +'Jan 26'!AB15+'Feb 26'!AB15+'March 26'!AB15+'April 26'!AB15+'May 26'!AB15+'June 26'!AB15</f>
        <v>0</v>
      </c>
      <c r="AE15" s="7">
        <f>'July 25'!AC15 + 'August 25'!AC15 +'Sept 25'!AC15 + 'Oct 25'!AC15 + 'Nov 25'!AC15+ 'Dec 25'!AC15 +'Jan 26'!AC15+'Feb 26'!AC15+'March 26'!AC15+'April 26'!AC15+'May 26'!AC15+'June 26'!AC15</f>
        <v>0</v>
      </c>
      <c r="AF15" s="7">
        <f>'July 25'!AD15 + 'August 25'!AD15 +'Sept 25'!AD15 + 'Oct 25'!AD15 + 'Nov 25'!AD15+ 'Dec 25'!AD15 +'Jan 26'!AD15+'Feb 26'!AD15+'March 26'!AD15+'April 26'!AD15+'May 26'!AD15+'June 26'!AD15</f>
        <v>0</v>
      </c>
      <c r="AG15" s="7">
        <f>'July 25'!AE15 + 'August 25'!AE15 +'Sept 25'!AE15 + 'Oct 25'!AE15 + 'Nov 25'!AE15+ 'Dec 25'!AE15 +'Jan 26'!AE15+'Feb 26'!AE15+'March 26'!AE15+'April 26'!AE15+'May 26'!AE15+'June 26'!AE15</f>
        <v>0</v>
      </c>
      <c r="AH15" s="7">
        <f>'July 25'!AF15 + 'August 25'!AF15 +'Sept 25'!AF15 + 'Oct 25'!AF15 + 'Nov 25'!AF15+ 'Dec 25'!AF15 +'Jan 26'!AF15+'Feb 26'!AF15+'March 26'!AF15+'April 26'!AF15+'May 26'!AF15+'June 26'!AF15</f>
        <v>0</v>
      </c>
      <c r="AI15" s="7">
        <f>'July 25'!AG15 + 'August 25'!AG15 +'Sept 25'!AG15 + 'Oct 25'!AG15 + 'Nov 25'!AG15+ 'Dec 25'!AG15 +'Jan 26'!AG15+'Feb 26'!AG15+'March 26'!AG15+'April 26'!AG15+'May 26'!AG15+'June 26'!AG15</f>
        <v>0</v>
      </c>
      <c r="AJ15" s="7">
        <f>'July 25'!AH15 + 'August 25'!AH15 +'Sept 25'!AH15 + 'Oct 25'!AH15 + 'Nov 25'!AH15+ 'Dec 25'!AH15 +'Jan 26'!AH15+'Feb 26'!AH15+'March 26'!AH15+'April 26'!AH15+'May 26'!AH15+'June 26'!AH15</f>
        <v>0</v>
      </c>
      <c r="AK15" s="7">
        <f>'July 25'!AI15 + 'August 25'!AI15 +'Sept 25'!AI15 + 'Oct 25'!AI15 + 'Nov 25'!AI15+ 'Dec 25'!AI15 +'Jan 26'!AI15+'Feb 26'!AI15+'March 26'!AI15+'April 26'!AI15+'May 26'!AI15+'June 26'!AI15</f>
        <v>0</v>
      </c>
      <c r="AL15" s="7">
        <f>'July 25'!AJ15 + 'August 25'!AJ15 +'Sept 25'!AJ15 + 'Oct 25'!AJ15 + 'Nov 25'!AJ15+ 'Dec 25'!AJ15 +'Jan 26'!AJ15+'Feb 26'!AJ15+'March 26'!AJ15+'April 26'!AJ15+'May 26'!AJ15+'June 26'!AJ15</f>
        <v>0</v>
      </c>
      <c r="AM15" s="7">
        <f>'July 25'!AK15 + 'August 25'!AK15 +'Sept 25'!AK15 + 'Oct 25'!AK15 + 'Nov 25'!AK15+ 'Dec 25'!AK15 +'Jan 26'!AK15+'Feb 26'!AK15+'March 26'!AK15+'April 26'!AK15+'May 26'!AK15+'June 26'!AK15</f>
        <v>0</v>
      </c>
      <c r="AN15" s="7">
        <f>'July 25'!AL15 + 'August 25'!AL15 +'Sept 25'!AL15 + 'Oct 25'!AL15 + 'Nov 25'!AL15+ 'Dec 25'!AL15 +'Jan 26'!AL15+'Feb 26'!AL15+'March 26'!AL15+'April 26'!AL15+'May 26'!AL15+'June 26'!AL15</f>
        <v>0</v>
      </c>
      <c r="AO15" s="7">
        <f>'July 25'!AM15 + 'August 25'!AM15 +'Sept 25'!AM15 + 'Oct 25'!AM15 + 'Nov 25'!AM15+ 'Dec 25'!AM15 +'Jan 26'!AM15+'Feb 26'!AM15+'March 26'!AM15+'April 26'!AM15+'May 26'!AM15+'June 26'!AM15</f>
        <v>0</v>
      </c>
      <c r="AP15" s="7">
        <f>'July 25'!AN15 + 'August 25'!AN15 +'Sept 25'!AN15 + 'Oct 25'!AN15 + 'Nov 25'!AN15+ 'Dec 25'!AN15 +'Jan 26'!AN15+'Feb 26'!AN15+'March 26'!AN15+'April 26'!AN15+'May 26'!AN15+'June 26'!AN15</f>
        <v>0</v>
      </c>
      <c r="AQ15" s="7">
        <f>'July 25'!AO15 + 'August 25'!AO15 +'Sept 25'!AO15 + 'Oct 25'!AO15 + 'Nov 25'!AO15+ 'Dec 25'!AO15 +'Jan 26'!AO15+'Feb 26'!AO15+'March 26'!AO15+'April 26'!AO15+'May 26'!AO15+'June 26'!AO15</f>
        <v>0</v>
      </c>
      <c r="AR15" s="7">
        <f>'July 25'!AP15 + 'August 25'!AP15 +'Sept 25'!AP15 + 'Oct 25'!AP15 + 'Nov 25'!AP15+ 'Dec 25'!AP15 +'Jan 26'!AP15+'Feb 26'!AP15+'March 26'!AP15+'April 26'!AP15+'May 26'!AP15+'June 26'!AP15</f>
        <v>0</v>
      </c>
      <c r="AS15" s="7">
        <f>'July 25'!AQ15 + 'August 25'!AQ15 +'Sept 25'!AQ15 + 'Oct 25'!AQ15 + 'Nov 25'!AQ15+ 'Dec 25'!AQ15 +'Jan 26'!AQ15+'Feb 26'!AQ15+'March 26'!AQ15+'April 26'!AQ15+'May 26'!AQ15+'June 26'!AQ15</f>
        <v>0</v>
      </c>
      <c r="AT15" s="7">
        <f>'July 25'!AR15 + 'August 25'!AR15 +'Sept 25'!AR15 + 'Oct 25'!AR15 + 'Nov 25'!AR15+ 'Dec 25'!AR15 +'Jan 26'!AR15+'Feb 26'!AR15+'March 26'!AR15+'April 26'!AR15+'May 26'!AR15+'June 26'!AR15</f>
        <v>0</v>
      </c>
      <c r="AU15" s="7">
        <f>'July 25'!AS15 + 'August 25'!AS15 +'Sept 25'!AS15 + 'Oct 25'!AS15 + 'Nov 25'!AS15+ 'Dec 25'!AS15 +'Jan 26'!AS15+'Feb 26'!AS15+'March 26'!AS15+'April 26'!AS15+'May 26'!AS15+'June 26'!AS15</f>
        <v>0</v>
      </c>
      <c r="AV15" s="7">
        <f>'July 25'!AT15 + 'August 25'!AT15 +'Sept 25'!AT15 + 'Oct 25'!AT15 + 'Nov 25'!AT15+ 'Dec 25'!AT15 +'Jan 26'!AT15+'Feb 26'!AT15+'March 26'!AT15+'April 26'!AT15+'May 26'!AT15+'June 26'!AT15</f>
        <v>0</v>
      </c>
      <c r="AW15" s="7">
        <f>'July 25'!AU15 + 'August 25'!AU15 +'Sept 25'!AU15 + 'Oct 25'!AU15 + 'Nov 25'!AU15+ 'Dec 25'!AU15 +'Jan 26'!AU15+'Feb 26'!AU15+'March 26'!AU15+'April 26'!AU15+'May 26'!AU15+'June 26'!AU15</f>
        <v>0</v>
      </c>
      <c r="AX15" s="7">
        <f>'July 25'!AV15 + 'August 25'!AV15 +'Sept 25'!AV15 + 'Oct 25'!AV15 + 'Nov 25'!AV15+ 'Dec 25'!AV15 +'Jan 26'!AV15+'Feb 26'!AV15+'March 26'!AV15+'April 26'!AV15+'May 26'!AV15+'June 26'!AV15</f>
        <v>0</v>
      </c>
      <c r="AY15" s="7">
        <f>'July 25'!AW15 + 'August 25'!AW15 +'Sept 25'!AW15 + 'Oct 25'!AW15 + 'Nov 25'!AW15+ 'Dec 25'!AW15 +'Jan 26'!AW15+'Feb 26'!AW15+'March 26'!AW15+'April 26'!AW15+'May 26'!AW15+'June 26'!AW15</f>
        <v>0</v>
      </c>
      <c r="AZ15" s="7">
        <f>'July 25'!AX15 + 'August 25'!AX15 +'Sept 25'!AX15 + 'Oct 25'!AX15 + 'Nov 25'!AX15+ 'Dec 25'!AX15 +'Jan 26'!AX15+'Feb 26'!AX15+'March 26'!AX15+'April 26'!AX15+'May 26'!AX15+'June 26'!AX15</f>
        <v>0</v>
      </c>
      <c r="BA15" s="7">
        <f>'July 25'!AY15 + 'August 25'!AY15 +'Sept 25'!AY15 + 'Oct 25'!AY15 + 'Nov 25'!AY15+ 'Dec 25'!AY15 +'Jan 26'!AY15+'Feb 26'!AY15+'March 26'!AY15+'April 26'!AY15+'May 26'!AY15+'June 26'!AY15</f>
        <v>0</v>
      </c>
      <c r="BB15" s="7">
        <f>'July 25'!AZ15 + 'August 25'!AZ15 +'Sept 25'!AZ15 + 'Oct 25'!AZ15 + 'Nov 25'!AZ15+ 'Dec 25'!AZ15 +'Jan 26'!AZ15+'Feb 26'!AZ15+'March 26'!AZ15+'April 26'!AZ15+'May 26'!AZ15+'June 26'!AZ15</f>
        <v>0</v>
      </c>
      <c r="BC15" s="7">
        <f>'July 25'!BA15 + 'August 25'!BA15 +'Sept 25'!BA15 + 'Oct 25'!BA15 + 'Nov 25'!BA15+ 'Dec 25'!BA15 +'Jan 26'!BA15+'Feb 26'!BA15+'March 26'!BA15+'April 26'!BA15+'May 26'!BA15+'June 26'!BA15</f>
        <v>0</v>
      </c>
      <c r="BD15" s="7">
        <f>'July 25'!BB15 + 'August 25'!BB15 +'Sept 25'!BB15 + 'Oct 25'!BB15 + 'Nov 25'!BB15+ 'Dec 25'!BB15 +'Jan 26'!BB15+'Feb 26'!BB15+'March 26'!BB15+'April 26'!BB15+'May 26'!BB15+'June 26'!BB15</f>
        <v>0</v>
      </c>
      <c r="BE15" s="7">
        <f>'July 25'!BC15 + 'August 25'!BC15 +'Sept 25'!BC15 + 'Oct 25'!BC15 + 'Nov 25'!BC15+ 'Dec 25'!BC15 +'Jan 26'!BC15+'Feb 26'!BC15+'March 26'!BC15+'April 26'!BC15+'May 26'!BC15+'June 26'!BC15</f>
        <v>0</v>
      </c>
      <c r="BF15" s="7">
        <f>'July 25'!BD15 + 'August 25'!BD15 +'Sept 25'!BD15 + 'Oct 25'!BD15 + 'Nov 25'!BD15+ 'Dec 25'!BD15 +'Jan 26'!BD15+'Feb 26'!BD15+'March 26'!BD15+'April 26'!BD15+'May 26'!BD15+'June 26'!BD15</f>
        <v>0</v>
      </c>
      <c r="BG15" s="7">
        <f>'July 25'!BE15 + 'August 25'!BE15 +'Sept 25'!BE15 + 'Oct 25'!BE15 + 'Nov 25'!BE15+ 'Dec 25'!BE15 +'Jan 26'!BE15+'Feb 26'!BE15+'March 26'!BE15+'April 26'!BE15+'May 26'!BE15+'June 26'!BE15</f>
        <v>0</v>
      </c>
      <c r="BH15" s="7">
        <f>'July 25'!BF15 + 'August 25'!BF15 +'Sept 25'!BF15 + 'Oct 25'!BF15 + 'Nov 25'!BF15+ 'Dec 25'!BF15 +'Jan 26'!BF15+'Feb 26'!BF15+'March 26'!BF15+'April 26'!BF15+'May 26'!BF15+'June 26'!BF15</f>
        <v>0</v>
      </c>
      <c r="BI15" s="7">
        <f>'July 25'!BG15 + 'August 25'!BG15 +'Sept 25'!BG15 + 'Oct 25'!BG15 + 'Nov 25'!BG15+ 'Dec 25'!BG15 +'Jan 26'!BG15+'Feb 26'!BG15+'March 26'!BG15+'April 26'!BG15+'May 26'!BG15+'June 26'!BG15</f>
        <v>0</v>
      </c>
      <c r="BJ15" s="7">
        <f>'July 25'!BH15 + 'August 25'!BH15 +'Sept 25'!BH15 + 'Oct 25'!BH15 + 'Nov 25'!BH15+ 'Dec 25'!BH15 +'Jan 26'!BH15+'Feb 26'!BH15+'March 26'!BH15+'April 26'!BH15+'May 26'!BH15+'June 26'!BH15</f>
        <v>0</v>
      </c>
      <c r="BK15" s="7">
        <f>'July 25'!BI15 + 'August 25'!BI15 +'Sept 25'!BI15 + 'Oct 25'!BI15 + 'Nov 25'!BI15+ 'Dec 25'!BI15 +'Jan 26'!BI15+'Feb 26'!BI15+'March 26'!BI15+'April 26'!BI15+'May 26'!BI15+'June 26'!BI15</f>
        <v>0</v>
      </c>
      <c r="BL15" s="7">
        <f>'July 25'!BJ15 + 'August 25'!BJ15 +'Sept 25'!BJ15 + 'Oct 25'!BJ15 + 'Nov 25'!BJ15+ 'Dec 25'!BJ15 +'Jan 26'!BJ15+'Feb 26'!BJ15+'March 26'!BJ15+'April 26'!BJ15+'May 26'!BJ15+'June 26'!BJ15</f>
        <v>0</v>
      </c>
      <c r="BM15" s="7">
        <f>'July 25'!BK15 + 'August 25'!BK15 +'Sept 25'!BK15 + 'Oct 25'!BK15 + 'Nov 25'!BK15+ 'Dec 25'!BK15 +'Jan 26'!BK15+'Feb 26'!BK15+'March 26'!BK15+'April 26'!BK15+'May 26'!BK15+'June 26'!BK15</f>
        <v>0</v>
      </c>
      <c r="BN15" s="7">
        <f>'July 25'!BL15 + 'August 25'!BL15 +'Sept 25'!BL15 + 'Oct 25'!BL15 + 'Nov 25'!BL15+ 'Dec 25'!BL15 +'Jan 26'!BL15+'Feb 26'!BL15+'March 26'!BL15+'April 26'!BL15+'May 26'!BL15+'June 26'!BL15</f>
        <v>0</v>
      </c>
      <c r="BO15" s="7">
        <f>'July 25'!BM15 + 'August 25'!BM15 +'Sept 25'!BM15 + 'Oct 25'!BM15 + 'Nov 25'!BM15+ 'Dec 25'!BM15 +'Jan 26'!BM15+'Feb 26'!BM15+'March 26'!BM15+'April 26'!BM15+'May 26'!BM15+'June 26'!BM15</f>
        <v>0</v>
      </c>
      <c r="BP15" s="7">
        <f>'July 25'!BN15 + 'August 25'!BN15 +'Sept 25'!BN15 + 'Oct 25'!BN15 + 'Nov 25'!BN15+ 'Dec 25'!BN15 +'Jan 26'!BN15+'Feb 26'!BN15+'March 26'!BN15+'April 26'!BN15+'May 26'!BN15+'June 26'!BN15</f>
        <v>0</v>
      </c>
      <c r="BQ15" s="7">
        <f>'July 25'!BO15 + 'August 25'!BO15 +'Sept 25'!BO15 + 'Oct 25'!BO15 + 'Nov 25'!BO15+ 'Dec 25'!BO15 +'Jan 26'!BO15+'Feb 26'!BO15+'March 26'!BO15+'April 26'!BO15+'May 26'!BO15+'June 26'!BO15</f>
        <v>0</v>
      </c>
      <c r="BR15" s="7">
        <f>'July 25'!BP15 + 'August 25'!BP15 +'Sept 25'!BP15 + 'Oct 25'!BP15 + 'Nov 25'!BP15+ 'Dec 25'!BP15 +'Jan 26'!BP15+'Feb 26'!BP15+'March 26'!BP15+'April 26'!BP15+'May 26'!BP15+'June 26'!BP15</f>
        <v>0</v>
      </c>
      <c r="BS15" s="7">
        <f>'July 25'!BQ15 + 'August 25'!BQ15 +'Sept 25'!BQ15 + 'Oct 25'!BQ15 + 'Nov 25'!BQ15+ 'Dec 25'!BQ15 +'Jan 26'!BQ15+'Feb 26'!BQ15+'March 26'!BQ15+'April 26'!BQ15+'May 26'!BQ15+'June 26'!BQ15</f>
        <v>0</v>
      </c>
      <c r="BT15" s="7">
        <f>'July 25'!BR15 + 'August 25'!BR15 +'Sept 25'!BR15 + 'Oct 25'!BR15 + 'Nov 25'!BR15+ 'Dec 25'!BR15 +'Jan 26'!BR15+'Feb 26'!BR15+'March 26'!BR15+'April 26'!BR15+'May 26'!BR15+'June 26'!BR15</f>
        <v>0</v>
      </c>
      <c r="BU15" s="7">
        <f>'July 25'!BS15 + 'August 25'!BS15 +'Sept 25'!BS15 + 'Oct 25'!BS15 + 'Nov 25'!BS15+ 'Dec 25'!BS15 +'Jan 26'!BS15+'Feb 26'!BS15+'March 26'!BS15+'April 26'!BS15+'May 26'!BS15+'June 26'!BS15</f>
        <v>0</v>
      </c>
      <c r="BV15" s="7">
        <f>'July 25'!BT15 + 'August 25'!BT15 +'Sept 25'!BT15 + 'Oct 25'!BT15 + 'Nov 25'!BT15+ 'Dec 25'!BT15 +'Jan 26'!BT15+'Feb 26'!BT15+'March 26'!BT15+'April 26'!BT15+'May 26'!BT15+'June 26'!BT15</f>
        <v>0</v>
      </c>
      <c r="BW15" s="7">
        <f>'July 25'!BU15 + 'August 25'!BU15 +'Sept 25'!BU15 + 'Oct 25'!BU15 + 'Nov 25'!BU15+ 'Dec 25'!BU15 +'Jan 26'!BU15+'Feb 26'!BU15+'March 26'!BU15+'April 26'!BU15+'May 26'!BU15+'June 26'!BU15</f>
        <v>0</v>
      </c>
      <c r="BX15" s="7">
        <f>'July 25'!BV15 + 'August 25'!BV15 +'Sept 25'!BV15 + 'Oct 25'!BV15 + 'Nov 25'!BV15+ 'Dec 25'!BV15 +'Jan 26'!BV15+'Feb 26'!BV15+'March 26'!BV15+'April 26'!BV15+'May 26'!BV15+'June 26'!BV15</f>
        <v>0</v>
      </c>
      <c r="BY15" s="7">
        <f>'July 25'!BW15 + 'August 25'!BW15 +'Sept 25'!BW15 + 'Oct 25'!BW15 + 'Nov 25'!BW15+ 'Dec 25'!BW15 +'Jan 26'!BW15+'Feb 26'!BW15+'March 26'!BW15+'April 26'!BW15+'May 26'!BW15+'June 26'!BW15</f>
        <v>0</v>
      </c>
      <c r="BZ15" s="7">
        <f>'July 25'!BX15 + 'August 25'!BX15 +'Sept 25'!BX15 + 'Oct 25'!BX15 + 'Nov 25'!BX15+ 'Dec 25'!BX15 +'Jan 26'!BX15+'Feb 26'!BX15+'March 26'!BX15+'April 26'!BX15+'May 26'!BX15+'June 26'!BX15</f>
        <v>0</v>
      </c>
      <c r="CA15" s="7">
        <f>'July 25'!BY15 + 'August 25'!BY15 +'Sept 25'!BY15 + 'Oct 25'!BY15 + 'Nov 25'!BY15+ 'Dec 25'!BY15 +'Jan 26'!BY15+'Feb 26'!BY15+'March 26'!BY15+'April 26'!BY15+'May 26'!BY15+'June 26'!BY15</f>
        <v>0</v>
      </c>
      <c r="CB15" s="7">
        <f>'July 25'!BZ15 + 'August 25'!BZ15 +'Sept 25'!BZ15 + 'Oct 25'!BZ15 + 'Nov 25'!BZ15+ 'Dec 25'!BZ15 +'Jan 26'!BZ15+'Feb 26'!BZ15+'March 26'!BZ15+'April 26'!BZ15+'May 26'!BZ15+'June 26'!BZ15</f>
        <v>0</v>
      </c>
      <c r="CC15" s="7">
        <f>'July 25'!CA15 + 'August 25'!CA15 +'Sept 25'!CA15 + 'Oct 25'!CA15 + 'Nov 25'!CA15+ 'Dec 25'!CA15 +'Jan 26'!CA15+'Feb 26'!CA15+'March 26'!CA15+'April 26'!CA15+'May 26'!CA15+'June 26'!CA15</f>
        <v>0</v>
      </c>
      <c r="CD15" s="7">
        <f>'July 25'!CB15 + 'August 25'!CB15 +'Sept 25'!CB15 + 'Oct 25'!CB15 + 'Nov 25'!CB15+ 'Dec 25'!CB15 +'Jan 26'!CB15+'Feb 26'!CB15+'March 26'!CB15+'April 26'!CB15+'May 26'!CB15+'June 26'!CB15</f>
        <v>0</v>
      </c>
      <c r="CE15" s="7">
        <f>'July 25'!CC15 + 'August 25'!CC15 +'Sept 25'!CC15 + 'Oct 25'!CC15 + 'Nov 25'!CC15+ 'Dec 25'!CC15 +'Jan 26'!CC15+'Feb 26'!CC15+'March 26'!CC15+'April 26'!CC15+'May 26'!CC15+'June 26'!CC15</f>
        <v>0</v>
      </c>
      <c r="CF15" s="9" cm="1">
        <f t="array" ref="CF15">SUMPRODUCT(--(UPPER($F$2:$CE$2)="NET NEW"),$F15:$CE15)</f>
        <v>0</v>
      </c>
      <c r="CG15" s="4">
        <f>SUMIF($F$2:$CE$2,"Enhance Existing",$F15:$CE15)</f>
        <v>0</v>
      </c>
      <c r="CH15" s="4">
        <f>SUMIF($F$2:$CE$2,"Maintenance",$F15:$CE15)</f>
        <v>720</v>
      </c>
    </row>
    <row r="16" spans="1:86" ht="15.95">
      <c r="A16" s="7" t="s">
        <v>38</v>
      </c>
      <c r="B16" s="7" t="s">
        <v>39</v>
      </c>
      <c r="C16" s="7" t="s">
        <v>55</v>
      </c>
      <c r="D16" s="12">
        <v>100</v>
      </c>
      <c r="E16" s="7"/>
      <c r="F16" s="7">
        <f>'July 25'!D16 + 'August 25'!D16 +'Sept 25'!D16 + 'Oct 25'!D16 + 'Nov 25'!D16+ 'Dec 25'!D16 +'Jan 26'!D16+'Feb 26'!D16+'March 26'!D16+'April 26'!D16+'May 26'!D16+'June 26'!D16</f>
        <v>0</v>
      </c>
      <c r="G16" s="7">
        <f>'July 25'!E16 + 'August 25'!E16 +'Sept 25'!E16 + 'Oct 25'!E16 + 'Nov 25'!E16+ 'Dec 25'!E16 +'Jan 26'!E16+'Feb 26'!E16+'March 26'!E16+'April 26'!E16+'May 26'!E16+'June 26'!E16</f>
        <v>0</v>
      </c>
      <c r="H16" s="7">
        <f>'July 25'!F16 + 'August 25'!F16 +'Sept 25'!F16 + 'Oct 25'!F16 + 'Nov 25'!F16+ 'Dec 25'!F16 +'Jan 26'!F16+'Feb 26'!F16+'March 26'!F16+'April 26'!F16+'May 26'!F16+'June 26'!F16</f>
        <v>960</v>
      </c>
      <c r="I16" s="7">
        <f>'July 25'!G16 + 'August 25'!G16 +'Sept 25'!G16 + 'Oct 25'!G16 + 'Nov 25'!G16+ 'Dec 25'!G16 +'Jan 26'!G16+'Feb 26'!G16+'March 26'!G16+'April 26'!G16+'May 26'!G16+'June 26'!G16</f>
        <v>0</v>
      </c>
      <c r="J16" s="7">
        <f>'July 25'!H16 + 'August 25'!H16 +'Sept 25'!H16 + 'Oct 25'!H16 + 'Nov 25'!H16+ 'Dec 25'!H16 +'Jan 26'!H16+'Feb 26'!H16+'March 26'!H16+'April 26'!H16+'May 26'!H16+'June 26'!H16</f>
        <v>0</v>
      </c>
      <c r="K16" s="7">
        <f>'July 25'!I16 + 'August 25'!I16 +'Sept 25'!I16 + 'Oct 25'!I16 + 'Nov 25'!I16+ 'Dec 25'!I16 +'Jan 26'!I16+'Feb 26'!I16+'March 26'!I16+'April 26'!I16+'May 26'!I16+'June 26'!I16</f>
        <v>0</v>
      </c>
      <c r="L16" s="7">
        <f>'July 25'!J16 + 'August 25'!J16 +'Sept 25'!J16 + 'Oct 25'!J16 + 'Nov 25'!J16+ 'Dec 25'!J16 +'Jan 26'!J16+'Feb 26'!J16+'March 26'!J16+'April 26'!J16+'May 26'!J16+'June 26'!J16</f>
        <v>0</v>
      </c>
      <c r="M16" s="7">
        <f>'July 25'!K16 + 'August 25'!K16 +'Sept 25'!K16 + 'Oct 25'!K16 + 'Nov 25'!K16+ 'Dec 25'!K16 +'Jan 26'!K16+'Feb 26'!K16+'March 26'!K16+'April 26'!K16+'May 26'!K16+'June 26'!K16</f>
        <v>0</v>
      </c>
      <c r="N16" s="7">
        <f>'July 25'!L16 + 'August 25'!L16 +'Sept 25'!L16 + 'Oct 25'!L16 + 'Nov 25'!L16+ 'Dec 25'!L16 +'Jan 26'!L16+'Feb 26'!L16+'March 26'!L16+'April 26'!L16+'May 26'!L16+'June 26'!L16</f>
        <v>0</v>
      </c>
      <c r="O16" s="7">
        <f>'July 25'!M16 + 'August 25'!M16 +'Sept 25'!M16 + 'Oct 25'!M16 + 'Nov 25'!M16+ 'Dec 25'!M16 +'Jan 26'!M16+'Feb 26'!M16+'March 26'!M16+'April 26'!M16+'May 26'!M16+'June 26'!M16</f>
        <v>0</v>
      </c>
      <c r="P16" s="7">
        <f>'July 25'!N16 + 'August 25'!N16 +'Sept 25'!N16 + 'Oct 25'!N16 + 'Nov 25'!N16+ 'Dec 25'!N16 +'Jan 26'!N16+'Feb 26'!N16+'March 26'!N16+'April 26'!N16+'May 26'!N16+'June 26'!N16</f>
        <v>0</v>
      </c>
      <c r="Q16" s="7">
        <f>'July 25'!O16 + 'August 25'!O16 +'Sept 25'!O16 + 'Oct 25'!O16 + 'Nov 25'!O16+ 'Dec 25'!O16 +'Jan 26'!O16+'Feb 26'!O16+'March 26'!O16+'April 26'!O16+'May 26'!O16+'June 26'!O16</f>
        <v>0</v>
      </c>
      <c r="R16" s="7">
        <f>'July 25'!P16 + 'August 25'!P16 +'Sept 25'!P16 + 'Oct 25'!P16 + 'Nov 25'!P16+ 'Dec 25'!P16 +'Jan 26'!P16+'Feb 26'!P16+'March 26'!P16+'April 26'!P16+'May 26'!P16+'June 26'!P16</f>
        <v>0</v>
      </c>
      <c r="S16" s="7">
        <f>'July 25'!Q16 + 'August 25'!Q16 +'Sept 25'!Q16 + 'Oct 25'!Q16 + 'Nov 25'!Q16+ 'Dec 25'!Q16 +'Jan 26'!Q16+'Feb 26'!Q16+'March 26'!Q16+'April 26'!Q16+'May 26'!Q16+'June 26'!Q16</f>
        <v>0</v>
      </c>
      <c r="T16" s="7">
        <f>'July 25'!R16 + 'August 25'!R16 +'Sept 25'!R16 + 'Oct 25'!R16 + 'Nov 25'!R16+ 'Dec 25'!R16 +'Jan 26'!R16+'Feb 26'!R16+'March 26'!R16+'April 26'!R16+'May 26'!R16+'June 26'!R16</f>
        <v>0</v>
      </c>
      <c r="U16" s="7">
        <f>'July 25'!S16 + 'August 25'!S16 +'Sept 25'!S16 + 'Oct 25'!S16 + 'Nov 25'!S16+ 'Dec 25'!S16 +'Jan 26'!S16+'Feb 26'!S16+'March 26'!S16+'April 26'!S16+'May 26'!S16+'June 26'!S16</f>
        <v>0</v>
      </c>
      <c r="V16" s="7">
        <f>'July 25'!T16 + 'August 25'!T16 +'Sept 25'!T16 + 'Oct 25'!T16 + 'Nov 25'!T16+ 'Dec 25'!T16 +'Jan 26'!T16+'Feb 26'!T16+'March 26'!T16+'April 26'!T16+'May 26'!T16+'June 26'!T16</f>
        <v>0</v>
      </c>
      <c r="W16" s="7">
        <f>'July 25'!U16 + 'August 25'!U16 +'Sept 25'!U16 + 'Oct 25'!U16 + 'Nov 25'!U16+ 'Dec 25'!U16 +'Jan 26'!U16+'Feb 26'!U16+'March 26'!U16+'April 26'!U16+'May 26'!U16+'June 26'!U16</f>
        <v>0</v>
      </c>
      <c r="X16" s="7">
        <f>'July 25'!V16 + 'August 25'!V16 +'Sept 25'!V16 + 'Oct 25'!V16 + 'Nov 25'!V16+ 'Dec 25'!V16 +'Jan 26'!V16+'Feb 26'!V16+'March 26'!V16+'April 26'!V16+'May 26'!V16+'June 26'!V16</f>
        <v>0</v>
      </c>
      <c r="Y16" s="7">
        <f>'July 25'!W16 + 'August 25'!W16 +'Sept 25'!W16 + 'Oct 25'!W16 + 'Nov 25'!W16+ 'Dec 25'!W16 +'Jan 26'!W16+'Feb 26'!W16+'March 26'!W16+'April 26'!W16+'May 26'!W16+'June 26'!W16</f>
        <v>0</v>
      </c>
      <c r="Z16" s="7">
        <f>'July 25'!X16 + 'August 25'!X16 +'Sept 25'!X16 + 'Oct 25'!X16 + 'Nov 25'!X16+ 'Dec 25'!X16 +'Jan 26'!X16+'Feb 26'!X16+'March 26'!X16+'April 26'!X16+'May 26'!X16+'June 26'!X16</f>
        <v>120</v>
      </c>
      <c r="AA16" s="7">
        <f>'July 25'!Y16 + 'August 25'!Y16 +'Sept 25'!Y16 + 'Oct 25'!Y16 + 'Nov 25'!Y16+ 'Dec 25'!Y16 +'Jan 26'!Y16+'Feb 26'!Y16+'March 26'!Y16+'April 26'!Y16+'May 26'!Y16+'June 26'!Y16</f>
        <v>0</v>
      </c>
      <c r="AB16" s="7">
        <f>'July 25'!Z16 + 'August 25'!Z16 +'Sept 25'!Z16 + 'Oct 25'!Z16 + 'Nov 25'!Z16+ 'Dec 25'!Z16 +'Jan 26'!Z16+'Feb 26'!Z16+'March 26'!Z16+'April 26'!Z16+'May 26'!Z16+'June 26'!Z16</f>
        <v>0</v>
      </c>
      <c r="AC16" s="7">
        <f>'July 25'!AA16 + 'August 25'!AA16 +'Sept 25'!AA16 + 'Oct 25'!AA16 + 'Nov 25'!AA16+ 'Dec 25'!AA16 +'Jan 26'!AA16+'Feb 26'!AA16+'March 26'!AA16+'April 26'!AA16+'May 26'!AA16+'June 26'!AA16</f>
        <v>0</v>
      </c>
      <c r="AD16" s="7">
        <f>'July 25'!AB16 + 'August 25'!AB16 +'Sept 25'!AB16 + 'Oct 25'!AB16 + 'Nov 25'!AB16+ 'Dec 25'!AB16 +'Jan 26'!AB16+'Feb 26'!AB16+'March 26'!AB16+'April 26'!AB16+'May 26'!AB16+'June 26'!AB16</f>
        <v>0</v>
      </c>
      <c r="AE16" s="7">
        <f>'July 25'!AC16 + 'August 25'!AC16 +'Sept 25'!AC16 + 'Oct 25'!AC16 + 'Nov 25'!AC16+ 'Dec 25'!AC16 +'Jan 26'!AC16+'Feb 26'!AC16+'March 26'!AC16+'April 26'!AC16+'May 26'!AC16+'June 26'!AC16</f>
        <v>0</v>
      </c>
      <c r="AF16" s="7">
        <f>'July 25'!AD16 + 'August 25'!AD16 +'Sept 25'!AD16 + 'Oct 25'!AD16 + 'Nov 25'!AD16+ 'Dec 25'!AD16 +'Jan 26'!AD16+'Feb 26'!AD16+'March 26'!AD16+'April 26'!AD16+'May 26'!AD16+'June 26'!AD16</f>
        <v>0</v>
      </c>
      <c r="AG16" s="7">
        <f>'July 25'!AE16 + 'August 25'!AE16 +'Sept 25'!AE16 + 'Oct 25'!AE16 + 'Nov 25'!AE16+ 'Dec 25'!AE16 +'Jan 26'!AE16+'Feb 26'!AE16+'March 26'!AE16+'April 26'!AE16+'May 26'!AE16+'June 26'!AE16</f>
        <v>0</v>
      </c>
      <c r="AH16" s="7">
        <f>'July 25'!AF16 + 'August 25'!AF16 +'Sept 25'!AF16 + 'Oct 25'!AF16 + 'Nov 25'!AF16+ 'Dec 25'!AF16 +'Jan 26'!AF16+'Feb 26'!AF16+'March 26'!AF16+'April 26'!AF16+'May 26'!AF16+'June 26'!AF16</f>
        <v>0</v>
      </c>
      <c r="AI16" s="7">
        <f>'July 25'!AG16 + 'August 25'!AG16 +'Sept 25'!AG16 + 'Oct 25'!AG16 + 'Nov 25'!AG16+ 'Dec 25'!AG16 +'Jan 26'!AG16+'Feb 26'!AG16+'March 26'!AG16+'April 26'!AG16+'May 26'!AG16+'June 26'!AG16</f>
        <v>0</v>
      </c>
      <c r="AJ16" s="7">
        <f>'July 25'!AH16 + 'August 25'!AH16 +'Sept 25'!AH16 + 'Oct 25'!AH16 + 'Nov 25'!AH16+ 'Dec 25'!AH16 +'Jan 26'!AH16+'Feb 26'!AH16+'March 26'!AH16+'April 26'!AH16+'May 26'!AH16+'June 26'!AH16</f>
        <v>0</v>
      </c>
      <c r="AK16" s="7">
        <f>'July 25'!AI16 + 'August 25'!AI16 +'Sept 25'!AI16 + 'Oct 25'!AI16 + 'Nov 25'!AI16+ 'Dec 25'!AI16 +'Jan 26'!AI16+'Feb 26'!AI16+'March 26'!AI16+'April 26'!AI16+'May 26'!AI16+'June 26'!AI16</f>
        <v>0</v>
      </c>
      <c r="AL16" s="7">
        <f>'July 25'!AJ16 + 'August 25'!AJ16 +'Sept 25'!AJ16 + 'Oct 25'!AJ16 + 'Nov 25'!AJ16+ 'Dec 25'!AJ16 +'Jan 26'!AJ16+'Feb 26'!AJ16+'March 26'!AJ16+'April 26'!AJ16+'May 26'!AJ16+'June 26'!AJ16</f>
        <v>0</v>
      </c>
      <c r="AM16" s="7">
        <f>'July 25'!AK16 + 'August 25'!AK16 +'Sept 25'!AK16 + 'Oct 25'!AK16 + 'Nov 25'!AK16+ 'Dec 25'!AK16 +'Jan 26'!AK16+'Feb 26'!AK16+'March 26'!AK16+'April 26'!AK16+'May 26'!AK16+'June 26'!AK16</f>
        <v>0</v>
      </c>
      <c r="AN16" s="7">
        <f>'July 25'!AL16 + 'August 25'!AL16 +'Sept 25'!AL16 + 'Oct 25'!AL16 + 'Nov 25'!AL16+ 'Dec 25'!AL16 +'Jan 26'!AL16+'Feb 26'!AL16+'March 26'!AL16+'April 26'!AL16+'May 26'!AL16+'June 26'!AL16</f>
        <v>0</v>
      </c>
      <c r="AO16" s="7">
        <f>'July 25'!AM16 + 'August 25'!AM16 +'Sept 25'!AM16 + 'Oct 25'!AM16 + 'Nov 25'!AM16+ 'Dec 25'!AM16 +'Jan 26'!AM16+'Feb 26'!AM16+'March 26'!AM16+'April 26'!AM16+'May 26'!AM16+'June 26'!AM16</f>
        <v>0</v>
      </c>
      <c r="AP16" s="7">
        <f>'July 25'!AN16 + 'August 25'!AN16 +'Sept 25'!AN16 + 'Oct 25'!AN16 + 'Nov 25'!AN16+ 'Dec 25'!AN16 +'Jan 26'!AN16+'Feb 26'!AN16+'March 26'!AN16+'April 26'!AN16+'May 26'!AN16+'June 26'!AN16</f>
        <v>0</v>
      </c>
      <c r="AQ16" s="7">
        <f>'July 25'!AO16 + 'August 25'!AO16 +'Sept 25'!AO16 + 'Oct 25'!AO16 + 'Nov 25'!AO16+ 'Dec 25'!AO16 +'Jan 26'!AO16+'Feb 26'!AO16+'March 26'!AO16+'April 26'!AO16+'May 26'!AO16+'June 26'!AO16</f>
        <v>0</v>
      </c>
      <c r="AR16" s="7">
        <f>'July 25'!AP16 + 'August 25'!AP16 +'Sept 25'!AP16 + 'Oct 25'!AP16 + 'Nov 25'!AP16+ 'Dec 25'!AP16 +'Jan 26'!AP16+'Feb 26'!AP16+'March 26'!AP16+'April 26'!AP16+'May 26'!AP16+'June 26'!AP16</f>
        <v>0</v>
      </c>
      <c r="AS16" s="7">
        <f>'July 25'!AQ16 + 'August 25'!AQ16 +'Sept 25'!AQ16 + 'Oct 25'!AQ16 + 'Nov 25'!AQ16+ 'Dec 25'!AQ16 +'Jan 26'!AQ16+'Feb 26'!AQ16+'March 26'!AQ16+'April 26'!AQ16+'May 26'!AQ16+'June 26'!AQ16</f>
        <v>0</v>
      </c>
      <c r="AT16" s="7">
        <f>'July 25'!AR16 + 'August 25'!AR16 +'Sept 25'!AR16 + 'Oct 25'!AR16 + 'Nov 25'!AR16+ 'Dec 25'!AR16 +'Jan 26'!AR16+'Feb 26'!AR16+'March 26'!AR16+'April 26'!AR16+'May 26'!AR16+'June 26'!AR16</f>
        <v>0</v>
      </c>
      <c r="AU16" s="7">
        <f>'July 25'!AS16 + 'August 25'!AS16 +'Sept 25'!AS16 + 'Oct 25'!AS16 + 'Nov 25'!AS16+ 'Dec 25'!AS16 +'Jan 26'!AS16+'Feb 26'!AS16+'March 26'!AS16+'April 26'!AS16+'May 26'!AS16+'June 26'!AS16</f>
        <v>0</v>
      </c>
      <c r="AV16" s="7">
        <f>'July 25'!AT16 + 'August 25'!AT16 +'Sept 25'!AT16 + 'Oct 25'!AT16 + 'Nov 25'!AT16+ 'Dec 25'!AT16 +'Jan 26'!AT16+'Feb 26'!AT16+'March 26'!AT16+'April 26'!AT16+'May 26'!AT16+'June 26'!AT16</f>
        <v>0</v>
      </c>
      <c r="AW16" s="7">
        <f>'July 25'!AU16 + 'August 25'!AU16 +'Sept 25'!AU16 + 'Oct 25'!AU16 + 'Nov 25'!AU16+ 'Dec 25'!AU16 +'Jan 26'!AU16+'Feb 26'!AU16+'March 26'!AU16+'April 26'!AU16+'May 26'!AU16+'June 26'!AU16</f>
        <v>0</v>
      </c>
      <c r="AX16" s="7">
        <f>'July 25'!AV16 + 'August 25'!AV16 +'Sept 25'!AV16 + 'Oct 25'!AV16 + 'Nov 25'!AV16+ 'Dec 25'!AV16 +'Jan 26'!AV16+'Feb 26'!AV16+'March 26'!AV16+'April 26'!AV16+'May 26'!AV16+'June 26'!AV16</f>
        <v>0</v>
      </c>
      <c r="AY16" s="7">
        <f>'July 25'!AW16 + 'August 25'!AW16 +'Sept 25'!AW16 + 'Oct 25'!AW16 + 'Nov 25'!AW16+ 'Dec 25'!AW16 +'Jan 26'!AW16+'Feb 26'!AW16+'March 26'!AW16+'April 26'!AW16+'May 26'!AW16+'June 26'!AW16</f>
        <v>0</v>
      </c>
      <c r="AZ16" s="7">
        <f>'July 25'!AX16 + 'August 25'!AX16 +'Sept 25'!AX16 + 'Oct 25'!AX16 + 'Nov 25'!AX16+ 'Dec 25'!AX16 +'Jan 26'!AX16+'Feb 26'!AX16+'March 26'!AX16+'April 26'!AX16+'May 26'!AX16+'June 26'!AX16</f>
        <v>0</v>
      </c>
      <c r="BA16" s="7">
        <f>'July 25'!AY16 + 'August 25'!AY16 +'Sept 25'!AY16 + 'Oct 25'!AY16 + 'Nov 25'!AY16+ 'Dec 25'!AY16 +'Jan 26'!AY16+'Feb 26'!AY16+'March 26'!AY16+'April 26'!AY16+'May 26'!AY16+'June 26'!AY16</f>
        <v>0</v>
      </c>
      <c r="BB16" s="7">
        <f>'July 25'!AZ16 + 'August 25'!AZ16 +'Sept 25'!AZ16 + 'Oct 25'!AZ16 + 'Nov 25'!AZ16+ 'Dec 25'!AZ16 +'Jan 26'!AZ16+'Feb 26'!AZ16+'March 26'!AZ16+'April 26'!AZ16+'May 26'!AZ16+'June 26'!AZ16</f>
        <v>0</v>
      </c>
      <c r="BC16" s="7">
        <f>'July 25'!BA16 + 'August 25'!BA16 +'Sept 25'!BA16 + 'Oct 25'!BA16 + 'Nov 25'!BA16+ 'Dec 25'!BA16 +'Jan 26'!BA16+'Feb 26'!BA16+'March 26'!BA16+'April 26'!BA16+'May 26'!BA16+'June 26'!BA16</f>
        <v>0</v>
      </c>
      <c r="BD16" s="7">
        <f>'July 25'!BB16 + 'August 25'!BB16 +'Sept 25'!BB16 + 'Oct 25'!BB16 + 'Nov 25'!BB16+ 'Dec 25'!BB16 +'Jan 26'!BB16+'Feb 26'!BB16+'March 26'!BB16+'April 26'!BB16+'May 26'!BB16+'June 26'!BB16</f>
        <v>0</v>
      </c>
      <c r="BE16" s="7">
        <f>'July 25'!BC16 + 'August 25'!BC16 +'Sept 25'!BC16 + 'Oct 25'!BC16 + 'Nov 25'!BC16+ 'Dec 25'!BC16 +'Jan 26'!BC16+'Feb 26'!BC16+'March 26'!BC16+'April 26'!BC16+'May 26'!BC16+'June 26'!BC16</f>
        <v>0</v>
      </c>
      <c r="BF16" s="7">
        <f>'July 25'!BD16 + 'August 25'!BD16 +'Sept 25'!BD16 + 'Oct 25'!BD16 + 'Nov 25'!BD16+ 'Dec 25'!BD16 +'Jan 26'!BD16+'Feb 26'!BD16+'March 26'!BD16+'April 26'!BD16+'May 26'!BD16+'June 26'!BD16</f>
        <v>0</v>
      </c>
      <c r="BG16" s="7">
        <f>'July 25'!BE16 + 'August 25'!BE16 +'Sept 25'!BE16 + 'Oct 25'!BE16 + 'Nov 25'!BE16+ 'Dec 25'!BE16 +'Jan 26'!BE16+'Feb 26'!BE16+'March 26'!BE16+'April 26'!BE16+'May 26'!BE16+'June 26'!BE16</f>
        <v>0</v>
      </c>
      <c r="BH16" s="7">
        <f>'July 25'!BF16 + 'August 25'!BF16 +'Sept 25'!BF16 + 'Oct 25'!BF16 + 'Nov 25'!BF16+ 'Dec 25'!BF16 +'Jan 26'!BF16+'Feb 26'!BF16+'March 26'!BF16+'April 26'!BF16+'May 26'!BF16+'June 26'!BF16</f>
        <v>0</v>
      </c>
      <c r="BI16" s="7">
        <f>'July 25'!BG16 + 'August 25'!BG16 +'Sept 25'!BG16 + 'Oct 25'!BG16 + 'Nov 25'!BG16+ 'Dec 25'!BG16 +'Jan 26'!BG16+'Feb 26'!BG16+'March 26'!BG16+'April 26'!BG16+'May 26'!BG16+'June 26'!BG16</f>
        <v>0</v>
      </c>
      <c r="BJ16" s="7">
        <f>'July 25'!BH16 + 'August 25'!BH16 +'Sept 25'!BH16 + 'Oct 25'!BH16 + 'Nov 25'!BH16+ 'Dec 25'!BH16 +'Jan 26'!BH16+'Feb 26'!BH16+'March 26'!BH16+'April 26'!BH16+'May 26'!BH16+'June 26'!BH16</f>
        <v>0</v>
      </c>
      <c r="BK16" s="7">
        <f>'July 25'!BI16 + 'August 25'!BI16 +'Sept 25'!BI16 + 'Oct 25'!BI16 + 'Nov 25'!BI16+ 'Dec 25'!BI16 +'Jan 26'!BI16+'Feb 26'!BI16+'March 26'!BI16+'April 26'!BI16+'May 26'!BI16+'June 26'!BI16</f>
        <v>0</v>
      </c>
      <c r="BL16" s="7">
        <f>'July 25'!BJ16 + 'August 25'!BJ16 +'Sept 25'!BJ16 + 'Oct 25'!BJ16 + 'Nov 25'!BJ16+ 'Dec 25'!BJ16 +'Jan 26'!BJ16+'Feb 26'!BJ16+'March 26'!BJ16+'April 26'!BJ16+'May 26'!BJ16+'June 26'!BJ16</f>
        <v>0</v>
      </c>
      <c r="BM16" s="7">
        <f>'July 25'!BK16 + 'August 25'!BK16 +'Sept 25'!BK16 + 'Oct 25'!BK16 + 'Nov 25'!BK16+ 'Dec 25'!BK16 +'Jan 26'!BK16+'Feb 26'!BK16+'March 26'!BK16+'April 26'!BK16+'May 26'!BK16+'June 26'!BK16</f>
        <v>0</v>
      </c>
      <c r="BN16" s="7">
        <f>'July 25'!BL16 + 'August 25'!BL16 +'Sept 25'!BL16 + 'Oct 25'!BL16 + 'Nov 25'!BL16+ 'Dec 25'!BL16 +'Jan 26'!BL16+'Feb 26'!BL16+'March 26'!BL16+'April 26'!BL16+'May 26'!BL16+'June 26'!BL16</f>
        <v>0</v>
      </c>
      <c r="BO16" s="7">
        <f>'July 25'!BM16 + 'August 25'!BM16 +'Sept 25'!BM16 + 'Oct 25'!BM16 + 'Nov 25'!BM16+ 'Dec 25'!BM16 +'Jan 26'!BM16+'Feb 26'!BM16+'March 26'!BM16+'April 26'!BM16+'May 26'!BM16+'June 26'!BM16</f>
        <v>0</v>
      </c>
      <c r="BP16" s="7">
        <f>'July 25'!BN16 + 'August 25'!BN16 +'Sept 25'!BN16 + 'Oct 25'!BN16 + 'Nov 25'!BN16+ 'Dec 25'!BN16 +'Jan 26'!BN16+'Feb 26'!BN16+'March 26'!BN16+'April 26'!BN16+'May 26'!BN16+'June 26'!BN16</f>
        <v>0</v>
      </c>
      <c r="BQ16" s="7">
        <f>'July 25'!BO16 + 'August 25'!BO16 +'Sept 25'!BO16 + 'Oct 25'!BO16 + 'Nov 25'!BO16+ 'Dec 25'!BO16 +'Jan 26'!BO16+'Feb 26'!BO16+'March 26'!BO16+'April 26'!BO16+'May 26'!BO16+'June 26'!BO16</f>
        <v>0</v>
      </c>
      <c r="BR16" s="7">
        <f>'July 25'!BP16 + 'August 25'!BP16 +'Sept 25'!BP16 + 'Oct 25'!BP16 + 'Nov 25'!BP16+ 'Dec 25'!BP16 +'Jan 26'!BP16+'Feb 26'!BP16+'March 26'!BP16+'April 26'!BP16+'May 26'!BP16+'June 26'!BP16</f>
        <v>0</v>
      </c>
      <c r="BS16" s="7">
        <f>'July 25'!BQ16 + 'August 25'!BQ16 +'Sept 25'!BQ16 + 'Oct 25'!BQ16 + 'Nov 25'!BQ16+ 'Dec 25'!BQ16 +'Jan 26'!BQ16+'Feb 26'!BQ16+'March 26'!BQ16+'April 26'!BQ16+'May 26'!BQ16+'June 26'!BQ16</f>
        <v>0</v>
      </c>
      <c r="BT16" s="7">
        <f>'July 25'!BR16 + 'August 25'!BR16 +'Sept 25'!BR16 + 'Oct 25'!BR16 + 'Nov 25'!BR16+ 'Dec 25'!BR16 +'Jan 26'!BR16+'Feb 26'!BR16+'March 26'!BR16+'April 26'!BR16+'May 26'!BR16+'June 26'!BR16</f>
        <v>0</v>
      </c>
      <c r="BU16" s="7">
        <f>'July 25'!BS16 + 'August 25'!BS16 +'Sept 25'!BS16 + 'Oct 25'!BS16 + 'Nov 25'!BS16+ 'Dec 25'!BS16 +'Jan 26'!BS16+'Feb 26'!BS16+'March 26'!BS16+'April 26'!BS16+'May 26'!BS16+'June 26'!BS16</f>
        <v>0</v>
      </c>
      <c r="BV16" s="7">
        <f>'July 25'!BT16 + 'August 25'!BT16 +'Sept 25'!BT16 + 'Oct 25'!BT16 + 'Nov 25'!BT16+ 'Dec 25'!BT16 +'Jan 26'!BT16+'Feb 26'!BT16+'March 26'!BT16+'April 26'!BT16+'May 26'!BT16+'June 26'!BT16</f>
        <v>0</v>
      </c>
      <c r="BW16" s="7">
        <f>'July 25'!BU16 + 'August 25'!BU16 +'Sept 25'!BU16 + 'Oct 25'!BU16 + 'Nov 25'!BU16+ 'Dec 25'!BU16 +'Jan 26'!BU16+'Feb 26'!BU16+'March 26'!BU16+'April 26'!BU16+'May 26'!BU16+'June 26'!BU16</f>
        <v>0</v>
      </c>
      <c r="BX16" s="7">
        <f>'July 25'!BV16 + 'August 25'!BV16 +'Sept 25'!BV16 + 'Oct 25'!BV16 + 'Nov 25'!BV16+ 'Dec 25'!BV16 +'Jan 26'!BV16+'Feb 26'!BV16+'March 26'!BV16+'April 26'!BV16+'May 26'!BV16+'June 26'!BV16</f>
        <v>0</v>
      </c>
      <c r="BY16" s="7">
        <f>'July 25'!BW16 + 'August 25'!BW16 +'Sept 25'!BW16 + 'Oct 25'!BW16 + 'Nov 25'!BW16+ 'Dec 25'!BW16 +'Jan 26'!BW16+'Feb 26'!BW16+'March 26'!BW16+'April 26'!BW16+'May 26'!BW16+'June 26'!BW16</f>
        <v>0</v>
      </c>
      <c r="BZ16" s="7">
        <f>'July 25'!BX16 + 'August 25'!BX16 +'Sept 25'!BX16 + 'Oct 25'!BX16 + 'Nov 25'!BX16+ 'Dec 25'!BX16 +'Jan 26'!BX16+'Feb 26'!BX16+'March 26'!BX16+'April 26'!BX16+'May 26'!BX16+'June 26'!BX16</f>
        <v>0</v>
      </c>
      <c r="CA16" s="7">
        <f>'July 25'!BY16 + 'August 25'!BY16 +'Sept 25'!BY16 + 'Oct 25'!BY16 + 'Nov 25'!BY16+ 'Dec 25'!BY16 +'Jan 26'!BY16+'Feb 26'!BY16+'March 26'!BY16+'April 26'!BY16+'May 26'!BY16+'June 26'!BY16</f>
        <v>0</v>
      </c>
      <c r="CB16" s="7">
        <f>'July 25'!BZ16 + 'August 25'!BZ16 +'Sept 25'!BZ16 + 'Oct 25'!BZ16 + 'Nov 25'!BZ16+ 'Dec 25'!BZ16 +'Jan 26'!BZ16+'Feb 26'!BZ16+'March 26'!BZ16+'April 26'!BZ16+'May 26'!BZ16+'June 26'!BZ16</f>
        <v>0</v>
      </c>
      <c r="CC16" s="7">
        <f>'July 25'!CA16 + 'August 25'!CA16 +'Sept 25'!CA16 + 'Oct 25'!CA16 + 'Nov 25'!CA16+ 'Dec 25'!CA16 +'Jan 26'!CA16+'Feb 26'!CA16+'March 26'!CA16+'April 26'!CA16+'May 26'!CA16+'June 26'!CA16</f>
        <v>0</v>
      </c>
      <c r="CD16" s="7">
        <f>'July 25'!CB16 + 'August 25'!CB16 +'Sept 25'!CB16 + 'Oct 25'!CB16 + 'Nov 25'!CB16+ 'Dec 25'!CB16 +'Jan 26'!CB16+'Feb 26'!CB16+'March 26'!CB16+'April 26'!CB16+'May 26'!CB16+'June 26'!CB16</f>
        <v>0</v>
      </c>
      <c r="CE16" s="7">
        <f>'July 25'!CC16 + 'August 25'!CC16 +'Sept 25'!CC16 + 'Oct 25'!CC16 + 'Nov 25'!CC16+ 'Dec 25'!CC16 +'Jan 26'!CC16+'Feb 26'!CC16+'March 26'!CC16+'April 26'!CC16+'May 26'!CC16+'June 26'!CC16</f>
        <v>0</v>
      </c>
      <c r="CF16" s="8" cm="1">
        <f t="array" ref="CF16">SUMPRODUCT(--(UPPER($F$2:$CE$2)="NET NEW"),$F16:$CE16)</f>
        <v>0</v>
      </c>
      <c r="CG16" s="3">
        <f>SUMIF($F$2:$CE$2,"Enhance Existing",$F16:$CE16)</f>
        <v>0</v>
      </c>
      <c r="CH16" s="3">
        <f>SUMIF($F$2:$CE$2,"Maintenance",$F16:$CE16)</f>
        <v>1080</v>
      </c>
    </row>
    <row r="17" spans="1:86" ht="15.95">
      <c r="A17" s="7" t="s">
        <v>56</v>
      </c>
      <c r="B17" s="7" t="s">
        <v>39</v>
      </c>
      <c r="C17" s="7" t="s">
        <v>57</v>
      </c>
      <c r="D17" s="12">
        <v>95</v>
      </c>
      <c r="E17" s="7"/>
      <c r="F17" s="7">
        <f>'July 25'!D17 + 'August 25'!D17 +'Sept 25'!D17 + 'Oct 25'!D17 + 'Nov 25'!D17+ 'Dec 25'!D17 +'Jan 26'!D17+'Feb 26'!D17+'March 26'!D17+'April 26'!D17+'May 26'!D17+'June 26'!D17</f>
        <v>0</v>
      </c>
      <c r="G17" s="7">
        <f>'July 25'!E17 + 'August 25'!E17 +'Sept 25'!E17 + 'Oct 25'!E17 + 'Nov 25'!E17+ 'Dec 25'!E17 +'Jan 26'!E17+'Feb 26'!E17+'March 26'!E17+'April 26'!E17+'May 26'!E17+'June 26'!E17</f>
        <v>0</v>
      </c>
      <c r="H17" s="7">
        <f>'July 25'!F17 + 'August 25'!F17 +'Sept 25'!F17 + 'Oct 25'!F17 + 'Nov 25'!F17+ 'Dec 25'!F17 +'Jan 26'!F17+'Feb 26'!F17+'March 26'!F17+'April 26'!F17+'May 26'!F17+'June 26'!F17</f>
        <v>0</v>
      </c>
      <c r="I17" s="7">
        <f>'July 25'!G17 + 'August 25'!G17 +'Sept 25'!G17 + 'Oct 25'!G17 + 'Nov 25'!G17+ 'Dec 25'!G17 +'Jan 26'!G17+'Feb 26'!G17+'March 26'!G17+'April 26'!G17+'May 26'!G17+'June 26'!G17</f>
        <v>900</v>
      </c>
      <c r="J17" s="7">
        <f>'July 25'!H17 + 'August 25'!H17 +'Sept 25'!H17 + 'Oct 25'!H17 + 'Nov 25'!H17+ 'Dec 25'!H17 +'Jan 26'!H17+'Feb 26'!H17+'March 26'!H17+'April 26'!H17+'May 26'!H17+'June 26'!H17</f>
        <v>0</v>
      </c>
      <c r="K17" s="7">
        <f>'July 25'!I17 + 'August 25'!I17 +'Sept 25'!I17 + 'Oct 25'!I17 + 'Nov 25'!I17+ 'Dec 25'!I17 +'Jan 26'!I17+'Feb 26'!I17+'March 26'!I17+'April 26'!I17+'May 26'!I17+'June 26'!I17</f>
        <v>400</v>
      </c>
      <c r="L17" s="7">
        <f>'July 25'!J17 + 'August 25'!J17 +'Sept 25'!J17 + 'Oct 25'!J17 + 'Nov 25'!J17+ 'Dec 25'!J17 +'Jan 26'!J17+'Feb 26'!J17+'March 26'!J17+'April 26'!J17+'May 26'!J17+'June 26'!J17</f>
        <v>0</v>
      </c>
      <c r="M17" s="7">
        <f>'July 25'!K17 + 'August 25'!K17 +'Sept 25'!K17 + 'Oct 25'!K17 + 'Nov 25'!K17+ 'Dec 25'!K17 +'Jan 26'!K17+'Feb 26'!K17+'March 26'!K17+'April 26'!K17+'May 26'!K17+'June 26'!K17</f>
        <v>0</v>
      </c>
      <c r="N17" s="7">
        <f>'July 25'!L17 + 'August 25'!L17 +'Sept 25'!L17 + 'Oct 25'!L17 + 'Nov 25'!L17+ 'Dec 25'!L17 +'Jan 26'!L17+'Feb 26'!L17+'March 26'!L17+'April 26'!L17+'May 26'!L17+'June 26'!L17</f>
        <v>0</v>
      </c>
      <c r="O17" s="7">
        <f>'July 25'!M17 + 'August 25'!M17 +'Sept 25'!M17 + 'Oct 25'!M17 + 'Nov 25'!M17+ 'Dec 25'!M17 +'Jan 26'!M17+'Feb 26'!M17+'March 26'!M17+'April 26'!M17+'May 26'!M17+'June 26'!M17</f>
        <v>0</v>
      </c>
      <c r="P17" s="7">
        <f>'July 25'!N17 + 'August 25'!N17 +'Sept 25'!N17 + 'Oct 25'!N17 + 'Nov 25'!N17+ 'Dec 25'!N17 +'Jan 26'!N17+'Feb 26'!N17+'March 26'!N17+'April 26'!N17+'May 26'!N17+'June 26'!N17</f>
        <v>0</v>
      </c>
      <c r="Q17" s="7">
        <f>'July 25'!O17 + 'August 25'!O17 +'Sept 25'!O17 + 'Oct 25'!O17 + 'Nov 25'!O17+ 'Dec 25'!O17 +'Jan 26'!O17+'Feb 26'!O17+'March 26'!O17+'April 26'!O17+'May 26'!O17+'June 26'!O17</f>
        <v>0</v>
      </c>
      <c r="R17" s="7">
        <f>'July 25'!P17 + 'August 25'!P17 +'Sept 25'!P17 + 'Oct 25'!P17 + 'Nov 25'!P17+ 'Dec 25'!P17 +'Jan 26'!P17+'Feb 26'!P17+'March 26'!P17+'April 26'!P17+'May 26'!P17+'June 26'!P17</f>
        <v>0</v>
      </c>
      <c r="S17" s="7">
        <f>'July 25'!Q17 + 'August 25'!Q17 +'Sept 25'!Q17 + 'Oct 25'!Q17 + 'Nov 25'!Q17+ 'Dec 25'!Q17 +'Jan 26'!Q17+'Feb 26'!Q17+'March 26'!Q17+'April 26'!Q17+'May 26'!Q17+'June 26'!Q17</f>
        <v>0</v>
      </c>
      <c r="T17" s="7">
        <f>'July 25'!R17 + 'August 25'!R17 +'Sept 25'!R17 + 'Oct 25'!R17 + 'Nov 25'!R17+ 'Dec 25'!R17 +'Jan 26'!R17+'Feb 26'!R17+'March 26'!R17+'April 26'!R17+'May 26'!R17+'June 26'!R17</f>
        <v>0</v>
      </c>
      <c r="U17" s="7">
        <f>'July 25'!S17 + 'August 25'!S17 +'Sept 25'!S17 + 'Oct 25'!S17 + 'Nov 25'!S17+ 'Dec 25'!S17 +'Jan 26'!S17+'Feb 26'!S17+'March 26'!S17+'April 26'!S17+'May 26'!S17+'June 26'!S17</f>
        <v>0</v>
      </c>
      <c r="V17" s="7">
        <f>'July 25'!T17 + 'August 25'!T17 +'Sept 25'!T17 + 'Oct 25'!T17 + 'Nov 25'!T17+ 'Dec 25'!T17 +'Jan 26'!T17+'Feb 26'!T17+'March 26'!T17+'April 26'!T17+'May 26'!T17+'June 26'!T17</f>
        <v>0</v>
      </c>
      <c r="W17" s="7">
        <f>'July 25'!U17 + 'August 25'!U17 +'Sept 25'!U17 + 'Oct 25'!U17 + 'Nov 25'!U17+ 'Dec 25'!U17 +'Jan 26'!U17+'Feb 26'!U17+'March 26'!U17+'April 26'!U17+'May 26'!U17+'June 26'!U17</f>
        <v>5</v>
      </c>
      <c r="X17" s="7">
        <f>'July 25'!V17 + 'August 25'!V17 +'Sept 25'!V17 + 'Oct 25'!V17 + 'Nov 25'!V17+ 'Dec 25'!V17 +'Jan 26'!V17+'Feb 26'!V17+'March 26'!V17+'April 26'!V17+'May 26'!V17+'June 26'!V17</f>
        <v>0</v>
      </c>
      <c r="Y17" s="7">
        <f>'July 25'!W17 + 'August 25'!W17 +'Sept 25'!W17 + 'Oct 25'!W17 + 'Nov 25'!W17+ 'Dec 25'!W17 +'Jan 26'!W17+'Feb 26'!W17+'March 26'!W17+'April 26'!W17+'May 26'!W17+'June 26'!W17</f>
        <v>0</v>
      </c>
      <c r="Z17" s="7">
        <f>'July 25'!X17 + 'August 25'!X17 +'Sept 25'!X17 + 'Oct 25'!X17 + 'Nov 25'!X17+ 'Dec 25'!X17 +'Jan 26'!X17+'Feb 26'!X17+'March 26'!X17+'April 26'!X17+'May 26'!X17+'June 26'!X17</f>
        <v>0</v>
      </c>
      <c r="AA17" s="7">
        <f>'July 25'!Y17 + 'August 25'!Y17 +'Sept 25'!Y17 + 'Oct 25'!Y17 + 'Nov 25'!Y17+ 'Dec 25'!Y17 +'Jan 26'!Y17+'Feb 26'!Y17+'March 26'!Y17+'April 26'!Y17+'May 26'!Y17+'June 26'!Y17</f>
        <v>0</v>
      </c>
      <c r="AB17" s="7">
        <f>'July 25'!Z17 + 'August 25'!Z17 +'Sept 25'!Z17 + 'Oct 25'!Z17 + 'Nov 25'!Z17+ 'Dec 25'!Z17 +'Jan 26'!Z17+'Feb 26'!Z17+'March 26'!Z17+'April 26'!Z17+'May 26'!Z17+'June 26'!Z17</f>
        <v>0</v>
      </c>
      <c r="AC17" s="7">
        <f>'July 25'!AA17 + 'August 25'!AA17 +'Sept 25'!AA17 + 'Oct 25'!AA17 + 'Nov 25'!AA17+ 'Dec 25'!AA17 +'Jan 26'!AA17+'Feb 26'!AA17+'March 26'!AA17+'April 26'!AA17+'May 26'!AA17+'June 26'!AA17</f>
        <v>0</v>
      </c>
      <c r="AD17" s="7">
        <f>'July 25'!AB17 + 'August 25'!AB17 +'Sept 25'!AB17 + 'Oct 25'!AB17 + 'Nov 25'!AB17+ 'Dec 25'!AB17 +'Jan 26'!AB17+'Feb 26'!AB17+'March 26'!AB17+'April 26'!AB17+'May 26'!AB17+'June 26'!AB17</f>
        <v>0</v>
      </c>
      <c r="AE17" s="7">
        <f>'July 25'!AC17 + 'August 25'!AC17 +'Sept 25'!AC17 + 'Oct 25'!AC17 + 'Nov 25'!AC17+ 'Dec 25'!AC17 +'Jan 26'!AC17+'Feb 26'!AC17+'March 26'!AC17+'April 26'!AC17+'May 26'!AC17+'June 26'!AC17</f>
        <v>0</v>
      </c>
      <c r="AF17" s="7">
        <f>'July 25'!AD17 + 'August 25'!AD17 +'Sept 25'!AD17 + 'Oct 25'!AD17 + 'Nov 25'!AD17+ 'Dec 25'!AD17 +'Jan 26'!AD17+'Feb 26'!AD17+'March 26'!AD17+'April 26'!AD17+'May 26'!AD17+'June 26'!AD17</f>
        <v>0</v>
      </c>
      <c r="AG17" s="7">
        <f>'July 25'!AE17 + 'August 25'!AE17 +'Sept 25'!AE17 + 'Oct 25'!AE17 + 'Nov 25'!AE17+ 'Dec 25'!AE17 +'Jan 26'!AE17+'Feb 26'!AE17+'March 26'!AE17+'April 26'!AE17+'May 26'!AE17+'June 26'!AE17</f>
        <v>0</v>
      </c>
      <c r="AH17" s="7">
        <f>'July 25'!AF17 + 'August 25'!AF17 +'Sept 25'!AF17 + 'Oct 25'!AF17 + 'Nov 25'!AF17+ 'Dec 25'!AF17 +'Jan 26'!AF17+'Feb 26'!AF17+'March 26'!AF17+'April 26'!AF17+'May 26'!AF17+'June 26'!AF17</f>
        <v>0</v>
      </c>
      <c r="AI17" s="7">
        <f>'July 25'!AG17 + 'August 25'!AG17 +'Sept 25'!AG17 + 'Oct 25'!AG17 + 'Nov 25'!AG17+ 'Dec 25'!AG17 +'Jan 26'!AG17+'Feb 26'!AG17+'March 26'!AG17+'April 26'!AG17+'May 26'!AG17+'June 26'!AG17</f>
        <v>5</v>
      </c>
      <c r="AJ17" s="7">
        <f>'July 25'!AH17 + 'August 25'!AH17 +'Sept 25'!AH17 + 'Oct 25'!AH17 + 'Nov 25'!AH17+ 'Dec 25'!AH17 +'Jan 26'!AH17+'Feb 26'!AH17+'March 26'!AH17+'April 26'!AH17+'May 26'!AH17+'June 26'!AH17</f>
        <v>0</v>
      </c>
      <c r="AK17" s="7">
        <f>'July 25'!AI17 + 'August 25'!AI17 +'Sept 25'!AI17 + 'Oct 25'!AI17 + 'Nov 25'!AI17+ 'Dec 25'!AI17 +'Jan 26'!AI17+'Feb 26'!AI17+'March 26'!AI17+'April 26'!AI17+'May 26'!AI17+'June 26'!AI17</f>
        <v>0</v>
      </c>
      <c r="AL17" s="7">
        <f>'July 25'!AJ17 + 'August 25'!AJ17 +'Sept 25'!AJ17 + 'Oct 25'!AJ17 + 'Nov 25'!AJ17+ 'Dec 25'!AJ17 +'Jan 26'!AJ17+'Feb 26'!AJ17+'March 26'!AJ17+'April 26'!AJ17+'May 26'!AJ17+'June 26'!AJ17</f>
        <v>0</v>
      </c>
      <c r="AM17" s="7">
        <f>'July 25'!AK17 + 'August 25'!AK17 +'Sept 25'!AK17 + 'Oct 25'!AK17 + 'Nov 25'!AK17+ 'Dec 25'!AK17 +'Jan 26'!AK17+'Feb 26'!AK17+'March 26'!AK17+'April 26'!AK17+'May 26'!AK17+'June 26'!AK17</f>
        <v>0</v>
      </c>
      <c r="AN17" s="7">
        <f>'July 25'!AL17 + 'August 25'!AL17 +'Sept 25'!AL17 + 'Oct 25'!AL17 + 'Nov 25'!AL17+ 'Dec 25'!AL17 +'Jan 26'!AL17+'Feb 26'!AL17+'March 26'!AL17+'April 26'!AL17+'May 26'!AL17+'June 26'!AL17</f>
        <v>0</v>
      </c>
      <c r="AO17" s="7">
        <f>'July 25'!AM17 + 'August 25'!AM17 +'Sept 25'!AM17 + 'Oct 25'!AM17 + 'Nov 25'!AM17+ 'Dec 25'!AM17 +'Jan 26'!AM17+'Feb 26'!AM17+'March 26'!AM17+'April 26'!AM17+'May 26'!AM17+'June 26'!AM17</f>
        <v>0</v>
      </c>
      <c r="AP17" s="7">
        <f>'July 25'!AN17 + 'August 25'!AN17 +'Sept 25'!AN17 + 'Oct 25'!AN17 + 'Nov 25'!AN17+ 'Dec 25'!AN17 +'Jan 26'!AN17+'Feb 26'!AN17+'March 26'!AN17+'April 26'!AN17+'May 26'!AN17+'June 26'!AN17</f>
        <v>0</v>
      </c>
      <c r="AQ17" s="7">
        <f>'July 25'!AO17 + 'August 25'!AO17 +'Sept 25'!AO17 + 'Oct 25'!AO17 + 'Nov 25'!AO17+ 'Dec 25'!AO17 +'Jan 26'!AO17+'Feb 26'!AO17+'March 26'!AO17+'April 26'!AO17+'May 26'!AO17+'June 26'!AO17</f>
        <v>0</v>
      </c>
      <c r="AR17" s="7">
        <f>'July 25'!AP17 + 'August 25'!AP17 +'Sept 25'!AP17 + 'Oct 25'!AP17 + 'Nov 25'!AP17+ 'Dec 25'!AP17 +'Jan 26'!AP17+'Feb 26'!AP17+'March 26'!AP17+'April 26'!AP17+'May 26'!AP17+'June 26'!AP17</f>
        <v>0</v>
      </c>
      <c r="AS17" s="7">
        <f>'July 25'!AQ17 + 'August 25'!AQ17 +'Sept 25'!AQ17 + 'Oct 25'!AQ17 + 'Nov 25'!AQ17+ 'Dec 25'!AQ17 +'Jan 26'!AQ17+'Feb 26'!AQ17+'March 26'!AQ17+'April 26'!AQ17+'May 26'!AQ17+'June 26'!AQ17</f>
        <v>0</v>
      </c>
      <c r="AT17" s="7">
        <f>'July 25'!AR17 + 'August 25'!AR17 +'Sept 25'!AR17 + 'Oct 25'!AR17 + 'Nov 25'!AR17+ 'Dec 25'!AR17 +'Jan 26'!AR17+'Feb 26'!AR17+'March 26'!AR17+'April 26'!AR17+'May 26'!AR17+'June 26'!AR17</f>
        <v>0</v>
      </c>
      <c r="AU17" s="7">
        <f>'July 25'!AS17 + 'August 25'!AS17 +'Sept 25'!AS17 + 'Oct 25'!AS17 + 'Nov 25'!AS17+ 'Dec 25'!AS17 +'Jan 26'!AS17+'Feb 26'!AS17+'March 26'!AS17+'April 26'!AS17+'May 26'!AS17+'June 26'!AS17</f>
        <v>0</v>
      </c>
      <c r="AV17" s="7">
        <f>'July 25'!AT17 + 'August 25'!AT17 +'Sept 25'!AT17 + 'Oct 25'!AT17 + 'Nov 25'!AT17+ 'Dec 25'!AT17 +'Jan 26'!AT17+'Feb 26'!AT17+'March 26'!AT17+'April 26'!AT17+'May 26'!AT17+'June 26'!AT17</f>
        <v>0</v>
      </c>
      <c r="AW17" s="7">
        <f>'July 25'!AU17 + 'August 25'!AU17 +'Sept 25'!AU17 + 'Oct 25'!AU17 + 'Nov 25'!AU17+ 'Dec 25'!AU17 +'Jan 26'!AU17+'Feb 26'!AU17+'March 26'!AU17+'April 26'!AU17+'May 26'!AU17+'June 26'!AU17</f>
        <v>0</v>
      </c>
      <c r="AX17" s="7">
        <f>'July 25'!AV17 + 'August 25'!AV17 +'Sept 25'!AV17 + 'Oct 25'!AV17 + 'Nov 25'!AV17+ 'Dec 25'!AV17 +'Jan 26'!AV17+'Feb 26'!AV17+'March 26'!AV17+'April 26'!AV17+'May 26'!AV17+'June 26'!AV17</f>
        <v>0</v>
      </c>
      <c r="AY17" s="7">
        <f>'July 25'!AW17 + 'August 25'!AW17 +'Sept 25'!AW17 + 'Oct 25'!AW17 + 'Nov 25'!AW17+ 'Dec 25'!AW17 +'Jan 26'!AW17+'Feb 26'!AW17+'March 26'!AW17+'April 26'!AW17+'May 26'!AW17+'June 26'!AW17</f>
        <v>0</v>
      </c>
      <c r="AZ17" s="7">
        <f>'July 25'!AX17 + 'August 25'!AX17 +'Sept 25'!AX17 + 'Oct 25'!AX17 + 'Nov 25'!AX17+ 'Dec 25'!AX17 +'Jan 26'!AX17+'Feb 26'!AX17+'March 26'!AX17+'April 26'!AX17+'May 26'!AX17+'June 26'!AX17</f>
        <v>0</v>
      </c>
      <c r="BA17" s="7">
        <f>'July 25'!AY17 + 'August 25'!AY17 +'Sept 25'!AY17 + 'Oct 25'!AY17 + 'Nov 25'!AY17+ 'Dec 25'!AY17 +'Jan 26'!AY17+'Feb 26'!AY17+'March 26'!AY17+'April 26'!AY17+'May 26'!AY17+'June 26'!AY17</f>
        <v>0</v>
      </c>
      <c r="BB17" s="7">
        <f>'July 25'!AZ17 + 'August 25'!AZ17 +'Sept 25'!AZ17 + 'Oct 25'!AZ17 + 'Nov 25'!AZ17+ 'Dec 25'!AZ17 +'Jan 26'!AZ17+'Feb 26'!AZ17+'March 26'!AZ17+'April 26'!AZ17+'May 26'!AZ17+'June 26'!AZ17</f>
        <v>0</v>
      </c>
      <c r="BC17" s="7">
        <f>'July 25'!BA17 + 'August 25'!BA17 +'Sept 25'!BA17 + 'Oct 25'!BA17 + 'Nov 25'!BA17+ 'Dec 25'!BA17 +'Jan 26'!BA17+'Feb 26'!BA17+'March 26'!BA17+'April 26'!BA17+'May 26'!BA17+'June 26'!BA17</f>
        <v>0</v>
      </c>
      <c r="BD17" s="7">
        <f>'July 25'!BB17 + 'August 25'!BB17 +'Sept 25'!BB17 + 'Oct 25'!BB17 + 'Nov 25'!BB17+ 'Dec 25'!BB17 +'Jan 26'!BB17+'Feb 26'!BB17+'March 26'!BB17+'April 26'!BB17+'May 26'!BB17+'June 26'!BB17</f>
        <v>0</v>
      </c>
      <c r="BE17" s="7">
        <f>'July 25'!BC17 + 'August 25'!BC17 +'Sept 25'!BC17 + 'Oct 25'!BC17 + 'Nov 25'!BC17+ 'Dec 25'!BC17 +'Jan 26'!BC17+'Feb 26'!BC17+'March 26'!BC17+'April 26'!BC17+'May 26'!BC17+'June 26'!BC17</f>
        <v>0</v>
      </c>
      <c r="BF17" s="7">
        <f>'July 25'!BD17 + 'August 25'!BD17 +'Sept 25'!BD17 + 'Oct 25'!BD17 + 'Nov 25'!BD17+ 'Dec 25'!BD17 +'Jan 26'!BD17+'Feb 26'!BD17+'March 26'!BD17+'April 26'!BD17+'May 26'!BD17+'June 26'!BD17</f>
        <v>0</v>
      </c>
      <c r="BG17" s="7">
        <f>'July 25'!BE17 + 'August 25'!BE17 +'Sept 25'!BE17 + 'Oct 25'!BE17 + 'Nov 25'!BE17+ 'Dec 25'!BE17 +'Jan 26'!BE17+'Feb 26'!BE17+'March 26'!BE17+'April 26'!BE17+'May 26'!BE17+'June 26'!BE17</f>
        <v>0</v>
      </c>
      <c r="BH17" s="7">
        <f>'July 25'!BF17 + 'August 25'!BF17 +'Sept 25'!BF17 + 'Oct 25'!BF17 + 'Nov 25'!BF17+ 'Dec 25'!BF17 +'Jan 26'!BF17+'Feb 26'!BF17+'March 26'!BF17+'April 26'!BF17+'May 26'!BF17+'June 26'!BF17</f>
        <v>0</v>
      </c>
      <c r="BI17" s="7">
        <f>'July 25'!BG17 + 'August 25'!BG17 +'Sept 25'!BG17 + 'Oct 25'!BG17 + 'Nov 25'!BG17+ 'Dec 25'!BG17 +'Jan 26'!BG17+'Feb 26'!BG17+'March 26'!BG17+'April 26'!BG17+'May 26'!BG17+'June 26'!BG17</f>
        <v>0</v>
      </c>
      <c r="BJ17" s="7">
        <f>'July 25'!BH17 + 'August 25'!BH17 +'Sept 25'!BH17 + 'Oct 25'!BH17 + 'Nov 25'!BH17+ 'Dec 25'!BH17 +'Jan 26'!BH17+'Feb 26'!BH17+'March 26'!BH17+'April 26'!BH17+'May 26'!BH17+'June 26'!BH17</f>
        <v>0</v>
      </c>
      <c r="BK17" s="7">
        <f>'July 25'!BI17 + 'August 25'!BI17 +'Sept 25'!BI17 + 'Oct 25'!BI17 + 'Nov 25'!BI17+ 'Dec 25'!BI17 +'Jan 26'!BI17+'Feb 26'!BI17+'March 26'!BI17+'April 26'!BI17+'May 26'!BI17+'June 26'!BI17</f>
        <v>0</v>
      </c>
      <c r="BL17" s="7">
        <f>'July 25'!BJ17 + 'August 25'!BJ17 +'Sept 25'!BJ17 + 'Oct 25'!BJ17 + 'Nov 25'!BJ17+ 'Dec 25'!BJ17 +'Jan 26'!BJ17+'Feb 26'!BJ17+'March 26'!BJ17+'April 26'!BJ17+'May 26'!BJ17+'June 26'!BJ17</f>
        <v>0</v>
      </c>
      <c r="BM17" s="7">
        <f>'July 25'!BK17 + 'August 25'!BK17 +'Sept 25'!BK17 + 'Oct 25'!BK17 + 'Nov 25'!BK17+ 'Dec 25'!BK17 +'Jan 26'!BK17+'Feb 26'!BK17+'March 26'!BK17+'April 26'!BK17+'May 26'!BK17+'June 26'!BK17</f>
        <v>0</v>
      </c>
      <c r="BN17" s="7">
        <f>'July 25'!BL17 + 'August 25'!BL17 +'Sept 25'!BL17 + 'Oct 25'!BL17 + 'Nov 25'!BL17+ 'Dec 25'!BL17 +'Jan 26'!BL17+'Feb 26'!BL17+'March 26'!BL17+'April 26'!BL17+'May 26'!BL17+'June 26'!BL17</f>
        <v>0</v>
      </c>
      <c r="BO17" s="7">
        <f>'July 25'!BM17 + 'August 25'!BM17 +'Sept 25'!BM17 + 'Oct 25'!BM17 + 'Nov 25'!BM17+ 'Dec 25'!BM17 +'Jan 26'!BM17+'Feb 26'!BM17+'March 26'!BM17+'April 26'!BM17+'May 26'!BM17+'June 26'!BM17</f>
        <v>0</v>
      </c>
      <c r="BP17" s="7">
        <f>'July 25'!BN17 + 'August 25'!BN17 +'Sept 25'!BN17 + 'Oct 25'!BN17 + 'Nov 25'!BN17+ 'Dec 25'!BN17 +'Jan 26'!BN17+'Feb 26'!BN17+'March 26'!BN17+'April 26'!BN17+'May 26'!BN17+'June 26'!BN17</f>
        <v>0</v>
      </c>
      <c r="BQ17" s="7">
        <f>'July 25'!BO17 + 'August 25'!BO17 +'Sept 25'!BO17 + 'Oct 25'!BO17 + 'Nov 25'!BO17+ 'Dec 25'!BO17 +'Jan 26'!BO17+'Feb 26'!BO17+'March 26'!BO17+'April 26'!BO17+'May 26'!BO17+'June 26'!BO17</f>
        <v>0</v>
      </c>
      <c r="BR17" s="7">
        <f>'July 25'!BP17 + 'August 25'!BP17 +'Sept 25'!BP17 + 'Oct 25'!BP17 + 'Nov 25'!BP17+ 'Dec 25'!BP17 +'Jan 26'!BP17+'Feb 26'!BP17+'March 26'!BP17+'April 26'!BP17+'May 26'!BP17+'June 26'!BP17</f>
        <v>0</v>
      </c>
      <c r="BS17" s="7">
        <f>'July 25'!BQ17 + 'August 25'!BQ17 +'Sept 25'!BQ17 + 'Oct 25'!BQ17 + 'Nov 25'!BQ17+ 'Dec 25'!BQ17 +'Jan 26'!BQ17+'Feb 26'!BQ17+'March 26'!BQ17+'April 26'!BQ17+'May 26'!BQ17+'June 26'!BQ17</f>
        <v>0</v>
      </c>
      <c r="BT17" s="7">
        <f>'July 25'!BR17 + 'August 25'!BR17 +'Sept 25'!BR17 + 'Oct 25'!BR17 + 'Nov 25'!BR17+ 'Dec 25'!BR17 +'Jan 26'!BR17+'Feb 26'!BR17+'March 26'!BR17+'April 26'!BR17+'May 26'!BR17+'June 26'!BR17</f>
        <v>0</v>
      </c>
      <c r="BU17" s="7">
        <f>'July 25'!BS17 + 'August 25'!BS17 +'Sept 25'!BS17 + 'Oct 25'!BS17 + 'Nov 25'!BS17+ 'Dec 25'!BS17 +'Jan 26'!BS17+'Feb 26'!BS17+'March 26'!BS17+'April 26'!BS17+'May 26'!BS17+'June 26'!BS17</f>
        <v>0</v>
      </c>
      <c r="BV17" s="7">
        <f>'July 25'!BT17 + 'August 25'!BT17 +'Sept 25'!BT17 + 'Oct 25'!BT17 + 'Nov 25'!BT17+ 'Dec 25'!BT17 +'Jan 26'!BT17+'Feb 26'!BT17+'March 26'!BT17+'April 26'!BT17+'May 26'!BT17+'June 26'!BT17</f>
        <v>0</v>
      </c>
      <c r="BW17" s="7">
        <f>'July 25'!BU17 + 'August 25'!BU17 +'Sept 25'!BU17 + 'Oct 25'!BU17 + 'Nov 25'!BU17+ 'Dec 25'!BU17 +'Jan 26'!BU17+'Feb 26'!BU17+'March 26'!BU17+'April 26'!BU17+'May 26'!BU17+'June 26'!BU17</f>
        <v>0</v>
      </c>
      <c r="BX17" s="7">
        <f>'July 25'!BV17 + 'August 25'!BV17 +'Sept 25'!BV17 + 'Oct 25'!BV17 + 'Nov 25'!BV17+ 'Dec 25'!BV17 +'Jan 26'!BV17+'Feb 26'!BV17+'March 26'!BV17+'April 26'!BV17+'May 26'!BV17+'June 26'!BV17</f>
        <v>0</v>
      </c>
      <c r="BY17" s="7">
        <f>'July 25'!BW17 + 'August 25'!BW17 +'Sept 25'!BW17 + 'Oct 25'!BW17 + 'Nov 25'!BW17+ 'Dec 25'!BW17 +'Jan 26'!BW17+'Feb 26'!BW17+'March 26'!BW17+'April 26'!BW17+'May 26'!BW17+'June 26'!BW17</f>
        <v>230</v>
      </c>
      <c r="BZ17" s="7">
        <f>'July 25'!BX17 + 'August 25'!BX17 +'Sept 25'!BX17 + 'Oct 25'!BX17 + 'Nov 25'!BX17+ 'Dec 25'!BX17 +'Jan 26'!BX17+'Feb 26'!BX17+'March 26'!BX17+'April 26'!BX17+'May 26'!BX17+'June 26'!BX17</f>
        <v>0</v>
      </c>
      <c r="CA17" s="7">
        <f>'July 25'!BY17 + 'August 25'!BY17 +'Sept 25'!BY17 + 'Oct 25'!BY17 + 'Nov 25'!BY17+ 'Dec 25'!BY17 +'Jan 26'!BY17+'Feb 26'!BY17+'March 26'!BY17+'April 26'!BY17+'May 26'!BY17+'June 26'!BY17</f>
        <v>0</v>
      </c>
      <c r="CB17" s="7">
        <f>'July 25'!BZ17 + 'August 25'!BZ17 +'Sept 25'!BZ17 + 'Oct 25'!BZ17 + 'Nov 25'!BZ17+ 'Dec 25'!BZ17 +'Jan 26'!BZ17+'Feb 26'!BZ17+'March 26'!BZ17+'April 26'!BZ17+'May 26'!BZ17+'June 26'!BZ17</f>
        <v>0</v>
      </c>
      <c r="CC17" s="7">
        <f>'July 25'!CA17 + 'August 25'!CA17 +'Sept 25'!CA17 + 'Oct 25'!CA17 + 'Nov 25'!CA17+ 'Dec 25'!CA17 +'Jan 26'!CA17+'Feb 26'!CA17+'March 26'!CA17+'April 26'!CA17+'May 26'!CA17+'June 26'!CA17</f>
        <v>0</v>
      </c>
      <c r="CD17" s="7">
        <f>'July 25'!CB17 + 'August 25'!CB17 +'Sept 25'!CB17 + 'Oct 25'!CB17 + 'Nov 25'!CB17+ 'Dec 25'!CB17 +'Jan 26'!CB17+'Feb 26'!CB17+'March 26'!CB17+'April 26'!CB17+'May 26'!CB17+'June 26'!CB17</f>
        <v>0</v>
      </c>
      <c r="CE17" s="7">
        <f>'July 25'!CC17 + 'August 25'!CC17 +'Sept 25'!CC17 + 'Oct 25'!CC17 + 'Nov 25'!CC17+ 'Dec 25'!CC17 +'Jan 26'!CC17+'Feb 26'!CC17+'March 26'!CC17+'April 26'!CC17+'May 26'!CC17+'June 26'!CC17</f>
        <v>0</v>
      </c>
      <c r="CF17" s="8" cm="1">
        <f t="array" ref="CF17">SUMPRODUCT(--(UPPER($F$2:$CE$2)="NET NEW"),$F17:$CE17)</f>
        <v>900</v>
      </c>
      <c r="CG17" s="3">
        <f>SUMIF($F$2:$CE$2,"Enhance Existing",$F17:$CE17)</f>
        <v>0</v>
      </c>
      <c r="CH17" s="3">
        <f>SUMIF($F$2:$CE$2,"Maintenance",$F17:$CE17)</f>
        <v>640</v>
      </c>
    </row>
    <row r="18" spans="1:86" ht="15.95">
      <c r="A18" s="7" t="s">
        <v>41</v>
      </c>
      <c r="B18" s="7" t="s">
        <v>39</v>
      </c>
      <c r="C18" s="7" t="s">
        <v>58</v>
      </c>
      <c r="D18" s="12">
        <v>65</v>
      </c>
      <c r="E18" s="7"/>
      <c r="F18" s="7">
        <f>'July 25'!D18 + 'August 25'!D18 +'Sept 25'!D18 + 'Oct 25'!D18 + 'Nov 25'!D18+ 'Dec 25'!D18 +'Jan 26'!D18+'Feb 26'!D18+'March 26'!D18+'April 26'!D18+'May 26'!D18+'June 26'!D18</f>
        <v>0</v>
      </c>
      <c r="G18" s="7">
        <f>'July 25'!E18 + 'August 25'!E18 +'Sept 25'!E18 + 'Oct 25'!E18 + 'Nov 25'!E18+ 'Dec 25'!E18 +'Jan 26'!E18+'Feb 26'!E18+'March 26'!E18+'April 26'!E18+'May 26'!E18+'June 26'!E18</f>
        <v>0</v>
      </c>
      <c r="H18" s="7">
        <f>'July 25'!F18 + 'August 25'!F18 +'Sept 25'!F18 + 'Oct 25'!F18 + 'Nov 25'!F18+ 'Dec 25'!F18 +'Jan 26'!F18+'Feb 26'!F18+'March 26'!F18+'April 26'!F18+'May 26'!F18+'June 26'!F18</f>
        <v>0</v>
      </c>
      <c r="I18" s="7">
        <f>'July 25'!G18 + 'August 25'!G18 +'Sept 25'!G18 + 'Oct 25'!G18 + 'Nov 25'!G18+ 'Dec 25'!G18 +'Jan 26'!G18+'Feb 26'!G18+'March 26'!G18+'April 26'!G18+'May 26'!G18+'June 26'!G18</f>
        <v>920</v>
      </c>
      <c r="J18" s="7">
        <f>'July 25'!H18 + 'August 25'!H18 +'Sept 25'!H18 + 'Oct 25'!H18 + 'Nov 25'!H18+ 'Dec 25'!H18 +'Jan 26'!H18+'Feb 26'!H18+'March 26'!H18+'April 26'!H18+'May 26'!H18+'June 26'!H18</f>
        <v>0</v>
      </c>
      <c r="K18" s="7">
        <f>'July 25'!I18 + 'August 25'!I18 +'Sept 25'!I18 + 'Oct 25'!I18 + 'Nov 25'!I18+ 'Dec 25'!I18 +'Jan 26'!I18+'Feb 26'!I18+'March 26'!I18+'April 26'!I18+'May 26'!I18+'June 26'!I18</f>
        <v>400</v>
      </c>
      <c r="L18" s="7">
        <f>'July 25'!J18 + 'August 25'!J18 +'Sept 25'!J18 + 'Oct 25'!J18 + 'Nov 25'!J18+ 'Dec 25'!J18 +'Jan 26'!J18+'Feb 26'!J18+'March 26'!J18+'April 26'!J18+'May 26'!J18+'June 26'!J18</f>
        <v>0</v>
      </c>
      <c r="M18" s="7">
        <f>'July 25'!K18 + 'August 25'!K18 +'Sept 25'!K18 + 'Oct 25'!K18 + 'Nov 25'!K18+ 'Dec 25'!K18 +'Jan 26'!K18+'Feb 26'!K18+'March 26'!K18+'April 26'!K18+'May 26'!K18+'June 26'!K18</f>
        <v>0</v>
      </c>
      <c r="N18" s="7">
        <f>'July 25'!L18 + 'August 25'!L18 +'Sept 25'!L18 + 'Oct 25'!L18 + 'Nov 25'!L18+ 'Dec 25'!L18 +'Jan 26'!L18+'Feb 26'!L18+'March 26'!L18+'April 26'!L18+'May 26'!L18+'June 26'!L18</f>
        <v>0</v>
      </c>
      <c r="O18" s="7">
        <f>'July 25'!M18 + 'August 25'!M18 +'Sept 25'!M18 + 'Oct 25'!M18 + 'Nov 25'!M18+ 'Dec 25'!M18 +'Jan 26'!M18+'Feb 26'!M18+'March 26'!M18+'April 26'!M18+'May 26'!M18+'June 26'!M18</f>
        <v>0</v>
      </c>
      <c r="P18" s="7">
        <f>'July 25'!N18 + 'August 25'!N18 +'Sept 25'!N18 + 'Oct 25'!N18 + 'Nov 25'!N18+ 'Dec 25'!N18 +'Jan 26'!N18+'Feb 26'!N18+'March 26'!N18+'April 26'!N18+'May 26'!N18+'June 26'!N18</f>
        <v>0</v>
      </c>
      <c r="Q18" s="7">
        <f>'July 25'!O18 + 'August 25'!O18 +'Sept 25'!O18 + 'Oct 25'!O18 + 'Nov 25'!O18+ 'Dec 25'!O18 +'Jan 26'!O18+'Feb 26'!O18+'March 26'!O18+'April 26'!O18+'May 26'!O18+'June 26'!O18</f>
        <v>0</v>
      </c>
      <c r="R18" s="7">
        <f>'July 25'!P18 + 'August 25'!P18 +'Sept 25'!P18 + 'Oct 25'!P18 + 'Nov 25'!P18+ 'Dec 25'!P18 +'Jan 26'!P18+'Feb 26'!P18+'March 26'!P18+'April 26'!P18+'May 26'!P18+'June 26'!P18</f>
        <v>0</v>
      </c>
      <c r="S18" s="7">
        <f>'July 25'!Q18 + 'August 25'!Q18 +'Sept 25'!Q18 + 'Oct 25'!Q18 + 'Nov 25'!Q18+ 'Dec 25'!Q18 +'Jan 26'!Q18+'Feb 26'!Q18+'March 26'!Q18+'April 26'!Q18+'May 26'!Q18+'June 26'!Q18</f>
        <v>0</v>
      </c>
      <c r="T18" s="7">
        <f>'July 25'!R18 + 'August 25'!R18 +'Sept 25'!R18 + 'Oct 25'!R18 + 'Nov 25'!R18+ 'Dec 25'!R18 +'Jan 26'!R18+'Feb 26'!R18+'March 26'!R18+'April 26'!R18+'May 26'!R18+'June 26'!R18</f>
        <v>0</v>
      </c>
      <c r="U18" s="7">
        <f>'July 25'!S18 + 'August 25'!S18 +'Sept 25'!S18 + 'Oct 25'!S18 + 'Nov 25'!S18+ 'Dec 25'!S18 +'Jan 26'!S18+'Feb 26'!S18+'March 26'!S18+'April 26'!S18+'May 26'!S18+'June 26'!S18</f>
        <v>0</v>
      </c>
      <c r="V18" s="7">
        <f>'July 25'!T18 + 'August 25'!T18 +'Sept 25'!T18 + 'Oct 25'!T18 + 'Nov 25'!T18+ 'Dec 25'!T18 +'Jan 26'!T18+'Feb 26'!T18+'March 26'!T18+'April 26'!T18+'May 26'!T18+'June 26'!T18</f>
        <v>0</v>
      </c>
      <c r="W18" s="7">
        <f>'July 25'!U18 + 'August 25'!U18 +'Sept 25'!U18 + 'Oct 25'!U18 + 'Nov 25'!U18+ 'Dec 25'!U18 +'Jan 26'!U18+'Feb 26'!U18+'March 26'!U18+'April 26'!U18+'May 26'!U18+'June 26'!U18</f>
        <v>0</v>
      </c>
      <c r="X18" s="7">
        <f>'July 25'!V18 + 'August 25'!V18 +'Sept 25'!V18 + 'Oct 25'!V18 + 'Nov 25'!V18+ 'Dec 25'!V18 +'Jan 26'!V18+'Feb 26'!V18+'March 26'!V18+'April 26'!V18+'May 26'!V18+'June 26'!V18</f>
        <v>0</v>
      </c>
      <c r="Y18" s="7">
        <f>'July 25'!W18 + 'August 25'!W18 +'Sept 25'!W18 + 'Oct 25'!W18 + 'Nov 25'!W18+ 'Dec 25'!W18 +'Jan 26'!W18+'Feb 26'!W18+'March 26'!W18+'April 26'!W18+'May 26'!W18+'June 26'!W18</f>
        <v>0</v>
      </c>
      <c r="Z18" s="7">
        <f>'July 25'!X18 + 'August 25'!X18 +'Sept 25'!X18 + 'Oct 25'!X18 + 'Nov 25'!X18+ 'Dec 25'!X18 +'Jan 26'!X18+'Feb 26'!X18+'March 26'!X18+'April 26'!X18+'May 26'!X18+'June 26'!X18</f>
        <v>0</v>
      </c>
      <c r="AA18" s="7">
        <f>'July 25'!Y18 + 'August 25'!Y18 +'Sept 25'!Y18 + 'Oct 25'!Y18 + 'Nov 25'!Y18+ 'Dec 25'!Y18 +'Jan 26'!Y18+'Feb 26'!Y18+'March 26'!Y18+'April 26'!Y18+'May 26'!Y18+'June 26'!Y18</f>
        <v>0</v>
      </c>
      <c r="AB18" s="7">
        <f>'July 25'!Z18 + 'August 25'!Z18 +'Sept 25'!Z18 + 'Oct 25'!Z18 + 'Nov 25'!Z18+ 'Dec 25'!Z18 +'Jan 26'!Z18+'Feb 26'!Z18+'March 26'!Z18+'April 26'!Z18+'May 26'!Z18+'June 26'!Z18</f>
        <v>0</v>
      </c>
      <c r="AC18" s="7">
        <f>'July 25'!AA18 + 'August 25'!AA18 +'Sept 25'!AA18 + 'Oct 25'!AA18 + 'Nov 25'!AA18+ 'Dec 25'!AA18 +'Jan 26'!AA18+'Feb 26'!AA18+'March 26'!AA18+'April 26'!AA18+'May 26'!AA18+'June 26'!AA18</f>
        <v>0</v>
      </c>
      <c r="AD18" s="7">
        <f>'July 25'!AB18 + 'August 25'!AB18 +'Sept 25'!AB18 + 'Oct 25'!AB18 + 'Nov 25'!AB18+ 'Dec 25'!AB18 +'Jan 26'!AB18+'Feb 26'!AB18+'March 26'!AB18+'April 26'!AB18+'May 26'!AB18+'June 26'!AB18</f>
        <v>0</v>
      </c>
      <c r="AE18" s="7">
        <f>'July 25'!AC18 + 'August 25'!AC18 +'Sept 25'!AC18 + 'Oct 25'!AC18 + 'Nov 25'!AC18+ 'Dec 25'!AC18 +'Jan 26'!AC18+'Feb 26'!AC18+'March 26'!AC18+'April 26'!AC18+'May 26'!AC18+'June 26'!AC18</f>
        <v>0</v>
      </c>
      <c r="AF18" s="7">
        <f>'July 25'!AD18 + 'August 25'!AD18 +'Sept 25'!AD18 + 'Oct 25'!AD18 + 'Nov 25'!AD18+ 'Dec 25'!AD18 +'Jan 26'!AD18+'Feb 26'!AD18+'March 26'!AD18+'April 26'!AD18+'May 26'!AD18+'June 26'!AD18</f>
        <v>0</v>
      </c>
      <c r="AG18" s="7">
        <f>'July 25'!AE18 + 'August 25'!AE18 +'Sept 25'!AE18 + 'Oct 25'!AE18 + 'Nov 25'!AE18+ 'Dec 25'!AE18 +'Jan 26'!AE18+'Feb 26'!AE18+'March 26'!AE18+'April 26'!AE18+'May 26'!AE18+'June 26'!AE18</f>
        <v>0</v>
      </c>
      <c r="AH18" s="7">
        <f>'July 25'!AF18 + 'August 25'!AF18 +'Sept 25'!AF18 + 'Oct 25'!AF18 + 'Nov 25'!AF18+ 'Dec 25'!AF18 +'Jan 26'!AF18+'Feb 26'!AF18+'March 26'!AF18+'April 26'!AF18+'May 26'!AF18+'June 26'!AF18</f>
        <v>0</v>
      </c>
      <c r="AI18" s="7">
        <f>'July 25'!AG18 + 'August 25'!AG18 +'Sept 25'!AG18 + 'Oct 25'!AG18 + 'Nov 25'!AG18+ 'Dec 25'!AG18 +'Jan 26'!AG18+'Feb 26'!AG18+'March 26'!AG18+'April 26'!AG18+'May 26'!AG18+'June 26'!AG18</f>
        <v>0</v>
      </c>
      <c r="AJ18" s="7">
        <f>'July 25'!AH18 + 'August 25'!AH18 +'Sept 25'!AH18 + 'Oct 25'!AH18 + 'Nov 25'!AH18+ 'Dec 25'!AH18 +'Jan 26'!AH18+'Feb 26'!AH18+'March 26'!AH18+'April 26'!AH18+'May 26'!AH18+'June 26'!AH18</f>
        <v>0</v>
      </c>
      <c r="AK18" s="7">
        <f>'July 25'!AI18 + 'August 25'!AI18 +'Sept 25'!AI18 + 'Oct 25'!AI18 + 'Nov 25'!AI18+ 'Dec 25'!AI18 +'Jan 26'!AI18+'Feb 26'!AI18+'March 26'!AI18+'April 26'!AI18+'May 26'!AI18+'June 26'!AI18</f>
        <v>0</v>
      </c>
      <c r="AL18" s="7">
        <f>'July 25'!AJ18 + 'August 25'!AJ18 +'Sept 25'!AJ18 + 'Oct 25'!AJ18 + 'Nov 25'!AJ18+ 'Dec 25'!AJ18 +'Jan 26'!AJ18+'Feb 26'!AJ18+'March 26'!AJ18+'April 26'!AJ18+'May 26'!AJ18+'June 26'!AJ18</f>
        <v>0</v>
      </c>
      <c r="AM18" s="7">
        <f>'July 25'!AK18 + 'August 25'!AK18 +'Sept 25'!AK18 + 'Oct 25'!AK18 + 'Nov 25'!AK18+ 'Dec 25'!AK18 +'Jan 26'!AK18+'Feb 26'!AK18+'March 26'!AK18+'April 26'!AK18+'May 26'!AK18+'June 26'!AK18</f>
        <v>0</v>
      </c>
      <c r="AN18" s="7">
        <f>'July 25'!AL18 + 'August 25'!AL18 +'Sept 25'!AL18 + 'Oct 25'!AL18 + 'Nov 25'!AL18+ 'Dec 25'!AL18 +'Jan 26'!AL18+'Feb 26'!AL18+'March 26'!AL18+'April 26'!AL18+'May 26'!AL18+'June 26'!AL18</f>
        <v>0</v>
      </c>
      <c r="AO18" s="7">
        <f>'July 25'!AM18 + 'August 25'!AM18 +'Sept 25'!AM18 + 'Oct 25'!AM18 + 'Nov 25'!AM18+ 'Dec 25'!AM18 +'Jan 26'!AM18+'Feb 26'!AM18+'March 26'!AM18+'April 26'!AM18+'May 26'!AM18+'June 26'!AM18</f>
        <v>0</v>
      </c>
      <c r="AP18" s="7">
        <f>'July 25'!AN18 + 'August 25'!AN18 +'Sept 25'!AN18 + 'Oct 25'!AN18 + 'Nov 25'!AN18+ 'Dec 25'!AN18 +'Jan 26'!AN18+'Feb 26'!AN18+'March 26'!AN18+'April 26'!AN18+'May 26'!AN18+'June 26'!AN18</f>
        <v>0</v>
      </c>
      <c r="AQ18" s="7">
        <f>'July 25'!AO18 + 'August 25'!AO18 +'Sept 25'!AO18 + 'Oct 25'!AO18 + 'Nov 25'!AO18+ 'Dec 25'!AO18 +'Jan 26'!AO18+'Feb 26'!AO18+'March 26'!AO18+'April 26'!AO18+'May 26'!AO18+'June 26'!AO18</f>
        <v>0</v>
      </c>
      <c r="AR18" s="7">
        <f>'July 25'!AP18 + 'August 25'!AP18 +'Sept 25'!AP18 + 'Oct 25'!AP18 + 'Nov 25'!AP18+ 'Dec 25'!AP18 +'Jan 26'!AP18+'Feb 26'!AP18+'March 26'!AP18+'April 26'!AP18+'May 26'!AP18+'June 26'!AP18</f>
        <v>0</v>
      </c>
      <c r="AS18" s="7">
        <f>'July 25'!AQ18 + 'August 25'!AQ18 +'Sept 25'!AQ18 + 'Oct 25'!AQ18 + 'Nov 25'!AQ18+ 'Dec 25'!AQ18 +'Jan 26'!AQ18+'Feb 26'!AQ18+'March 26'!AQ18+'April 26'!AQ18+'May 26'!AQ18+'June 26'!AQ18</f>
        <v>0</v>
      </c>
      <c r="AT18" s="7">
        <f>'July 25'!AR18 + 'August 25'!AR18 +'Sept 25'!AR18 + 'Oct 25'!AR18 + 'Nov 25'!AR18+ 'Dec 25'!AR18 +'Jan 26'!AR18+'Feb 26'!AR18+'March 26'!AR18+'April 26'!AR18+'May 26'!AR18+'June 26'!AR18</f>
        <v>0</v>
      </c>
      <c r="AU18" s="7">
        <f>'July 25'!AS18 + 'August 25'!AS18 +'Sept 25'!AS18 + 'Oct 25'!AS18 + 'Nov 25'!AS18+ 'Dec 25'!AS18 +'Jan 26'!AS18+'Feb 26'!AS18+'March 26'!AS18+'April 26'!AS18+'May 26'!AS18+'June 26'!AS18</f>
        <v>0</v>
      </c>
      <c r="AV18" s="7">
        <f>'July 25'!AT18 + 'August 25'!AT18 +'Sept 25'!AT18 + 'Oct 25'!AT18 + 'Nov 25'!AT18+ 'Dec 25'!AT18 +'Jan 26'!AT18+'Feb 26'!AT18+'March 26'!AT18+'April 26'!AT18+'May 26'!AT18+'June 26'!AT18</f>
        <v>0</v>
      </c>
      <c r="AW18" s="7">
        <f>'July 25'!AU18 + 'August 25'!AU18 +'Sept 25'!AU18 + 'Oct 25'!AU18 + 'Nov 25'!AU18+ 'Dec 25'!AU18 +'Jan 26'!AU18+'Feb 26'!AU18+'March 26'!AU18+'April 26'!AU18+'May 26'!AU18+'June 26'!AU18</f>
        <v>0</v>
      </c>
      <c r="AX18" s="7">
        <f>'July 25'!AV18 + 'August 25'!AV18 +'Sept 25'!AV18 + 'Oct 25'!AV18 + 'Nov 25'!AV18+ 'Dec 25'!AV18 +'Jan 26'!AV18+'Feb 26'!AV18+'March 26'!AV18+'April 26'!AV18+'May 26'!AV18+'June 26'!AV18</f>
        <v>0</v>
      </c>
      <c r="AY18" s="7">
        <f>'July 25'!AW18 + 'August 25'!AW18 +'Sept 25'!AW18 + 'Oct 25'!AW18 + 'Nov 25'!AW18+ 'Dec 25'!AW18 +'Jan 26'!AW18+'Feb 26'!AW18+'March 26'!AW18+'April 26'!AW18+'May 26'!AW18+'June 26'!AW18</f>
        <v>0</v>
      </c>
      <c r="AZ18" s="7">
        <f>'July 25'!AX18 + 'August 25'!AX18 +'Sept 25'!AX18 + 'Oct 25'!AX18 + 'Nov 25'!AX18+ 'Dec 25'!AX18 +'Jan 26'!AX18+'Feb 26'!AX18+'March 26'!AX18+'April 26'!AX18+'May 26'!AX18+'June 26'!AX18</f>
        <v>0</v>
      </c>
      <c r="BA18" s="7">
        <f>'July 25'!AY18 + 'August 25'!AY18 +'Sept 25'!AY18 + 'Oct 25'!AY18 + 'Nov 25'!AY18+ 'Dec 25'!AY18 +'Jan 26'!AY18+'Feb 26'!AY18+'March 26'!AY18+'April 26'!AY18+'May 26'!AY18+'June 26'!AY18</f>
        <v>0</v>
      </c>
      <c r="BB18" s="7">
        <f>'July 25'!AZ18 + 'August 25'!AZ18 +'Sept 25'!AZ18 + 'Oct 25'!AZ18 + 'Nov 25'!AZ18+ 'Dec 25'!AZ18 +'Jan 26'!AZ18+'Feb 26'!AZ18+'March 26'!AZ18+'April 26'!AZ18+'May 26'!AZ18+'June 26'!AZ18</f>
        <v>0</v>
      </c>
      <c r="BC18" s="7">
        <f>'July 25'!BA18 + 'August 25'!BA18 +'Sept 25'!BA18 + 'Oct 25'!BA18 + 'Nov 25'!BA18+ 'Dec 25'!BA18 +'Jan 26'!BA18+'Feb 26'!BA18+'March 26'!BA18+'April 26'!BA18+'May 26'!BA18+'June 26'!BA18</f>
        <v>0</v>
      </c>
      <c r="BD18" s="7">
        <f>'July 25'!BB18 + 'August 25'!BB18 +'Sept 25'!BB18 + 'Oct 25'!BB18 + 'Nov 25'!BB18+ 'Dec 25'!BB18 +'Jan 26'!BB18+'Feb 26'!BB18+'March 26'!BB18+'April 26'!BB18+'May 26'!BB18+'June 26'!BB18</f>
        <v>0</v>
      </c>
      <c r="BE18" s="7">
        <f>'July 25'!BC18 + 'August 25'!BC18 +'Sept 25'!BC18 + 'Oct 25'!BC18 + 'Nov 25'!BC18+ 'Dec 25'!BC18 +'Jan 26'!BC18+'Feb 26'!BC18+'March 26'!BC18+'April 26'!BC18+'May 26'!BC18+'June 26'!BC18</f>
        <v>0</v>
      </c>
      <c r="BF18" s="7">
        <f>'July 25'!BD18 + 'August 25'!BD18 +'Sept 25'!BD18 + 'Oct 25'!BD18 + 'Nov 25'!BD18+ 'Dec 25'!BD18 +'Jan 26'!BD18+'Feb 26'!BD18+'March 26'!BD18+'April 26'!BD18+'May 26'!BD18+'June 26'!BD18</f>
        <v>0</v>
      </c>
      <c r="BG18" s="7">
        <f>'July 25'!BE18 + 'August 25'!BE18 +'Sept 25'!BE18 + 'Oct 25'!BE18 + 'Nov 25'!BE18+ 'Dec 25'!BE18 +'Jan 26'!BE18+'Feb 26'!BE18+'March 26'!BE18+'April 26'!BE18+'May 26'!BE18+'June 26'!BE18</f>
        <v>0</v>
      </c>
      <c r="BH18" s="7">
        <f>'July 25'!BF18 + 'August 25'!BF18 +'Sept 25'!BF18 + 'Oct 25'!BF18 + 'Nov 25'!BF18+ 'Dec 25'!BF18 +'Jan 26'!BF18+'Feb 26'!BF18+'March 26'!BF18+'April 26'!BF18+'May 26'!BF18+'June 26'!BF18</f>
        <v>0</v>
      </c>
      <c r="BI18" s="7">
        <f>'July 25'!BG18 + 'August 25'!BG18 +'Sept 25'!BG18 + 'Oct 25'!BG18 + 'Nov 25'!BG18+ 'Dec 25'!BG18 +'Jan 26'!BG18+'Feb 26'!BG18+'March 26'!BG18+'April 26'!BG18+'May 26'!BG18+'June 26'!BG18</f>
        <v>0</v>
      </c>
      <c r="BJ18" s="7">
        <f>'July 25'!BH18 + 'August 25'!BH18 +'Sept 25'!BH18 + 'Oct 25'!BH18 + 'Nov 25'!BH18+ 'Dec 25'!BH18 +'Jan 26'!BH18+'Feb 26'!BH18+'March 26'!BH18+'April 26'!BH18+'May 26'!BH18+'June 26'!BH18</f>
        <v>0</v>
      </c>
      <c r="BK18" s="7">
        <f>'July 25'!BI18 + 'August 25'!BI18 +'Sept 25'!BI18 + 'Oct 25'!BI18 + 'Nov 25'!BI18+ 'Dec 25'!BI18 +'Jan 26'!BI18+'Feb 26'!BI18+'March 26'!BI18+'April 26'!BI18+'May 26'!BI18+'June 26'!BI18</f>
        <v>0</v>
      </c>
      <c r="BL18" s="7">
        <f>'July 25'!BJ18 + 'August 25'!BJ18 +'Sept 25'!BJ18 + 'Oct 25'!BJ18 + 'Nov 25'!BJ18+ 'Dec 25'!BJ18 +'Jan 26'!BJ18+'Feb 26'!BJ18+'March 26'!BJ18+'April 26'!BJ18+'May 26'!BJ18+'June 26'!BJ18</f>
        <v>0</v>
      </c>
      <c r="BM18" s="7">
        <f>'July 25'!BK18 + 'August 25'!BK18 +'Sept 25'!BK18 + 'Oct 25'!BK18 + 'Nov 25'!BK18+ 'Dec 25'!BK18 +'Jan 26'!BK18+'Feb 26'!BK18+'March 26'!BK18+'April 26'!BK18+'May 26'!BK18+'June 26'!BK18</f>
        <v>0</v>
      </c>
      <c r="BN18" s="7">
        <f>'July 25'!BL18 + 'August 25'!BL18 +'Sept 25'!BL18 + 'Oct 25'!BL18 + 'Nov 25'!BL18+ 'Dec 25'!BL18 +'Jan 26'!BL18+'Feb 26'!BL18+'March 26'!BL18+'April 26'!BL18+'May 26'!BL18+'June 26'!BL18</f>
        <v>0</v>
      </c>
      <c r="BO18" s="7">
        <f>'July 25'!BM18 + 'August 25'!BM18 +'Sept 25'!BM18 + 'Oct 25'!BM18 + 'Nov 25'!BM18+ 'Dec 25'!BM18 +'Jan 26'!BM18+'Feb 26'!BM18+'March 26'!BM18+'April 26'!BM18+'May 26'!BM18+'June 26'!BM18</f>
        <v>0</v>
      </c>
      <c r="BP18" s="7">
        <f>'July 25'!BN18 + 'August 25'!BN18 +'Sept 25'!BN18 + 'Oct 25'!BN18 + 'Nov 25'!BN18+ 'Dec 25'!BN18 +'Jan 26'!BN18+'Feb 26'!BN18+'March 26'!BN18+'April 26'!BN18+'May 26'!BN18+'June 26'!BN18</f>
        <v>0</v>
      </c>
      <c r="BQ18" s="7">
        <f>'July 25'!BO18 + 'August 25'!BO18 +'Sept 25'!BO18 + 'Oct 25'!BO18 + 'Nov 25'!BO18+ 'Dec 25'!BO18 +'Jan 26'!BO18+'Feb 26'!BO18+'March 26'!BO18+'April 26'!BO18+'May 26'!BO18+'June 26'!BO18</f>
        <v>0</v>
      </c>
      <c r="BR18" s="7">
        <f>'July 25'!BP18 + 'August 25'!BP18 +'Sept 25'!BP18 + 'Oct 25'!BP18 + 'Nov 25'!BP18+ 'Dec 25'!BP18 +'Jan 26'!BP18+'Feb 26'!BP18+'March 26'!BP18+'April 26'!BP18+'May 26'!BP18+'June 26'!BP18</f>
        <v>0</v>
      </c>
      <c r="BS18" s="7">
        <f>'July 25'!BQ18 + 'August 25'!BQ18 +'Sept 25'!BQ18 + 'Oct 25'!BQ18 + 'Nov 25'!BQ18+ 'Dec 25'!BQ18 +'Jan 26'!BQ18+'Feb 26'!BQ18+'March 26'!BQ18+'April 26'!BQ18+'May 26'!BQ18+'June 26'!BQ18</f>
        <v>0</v>
      </c>
      <c r="BT18" s="7">
        <f>'July 25'!BR18 + 'August 25'!BR18 +'Sept 25'!BR18 + 'Oct 25'!BR18 + 'Nov 25'!BR18+ 'Dec 25'!BR18 +'Jan 26'!BR18+'Feb 26'!BR18+'March 26'!BR18+'April 26'!BR18+'May 26'!BR18+'June 26'!BR18</f>
        <v>0</v>
      </c>
      <c r="BU18" s="7">
        <f>'July 25'!BS18 + 'August 25'!BS18 +'Sept 25'!BS18 + 'Oct 25'!BS18 + 'Nov 25'!BS18+ 'Dec 25'!BS18 +'Jan 26'!BS18+'Feb 26'!BS18+'March 26'!BS18+'April 26'!BS18+'May 26'!BS18+'June 26'!BS18</f>
        <v>0</v>
      </c>
      <c r="BV18" s="7">
        <f>'July 25'!BT18 + 'August 25'!BT18 +'Sept 25'!BT18 + 'Oct 25'!BT18 + 'Nov 25'!BT18+ 'Dec 25'!BT18 +'Jan 26'!BT18+'Feb 26'!BT18+'March 26'!BT18+'April 26'!BT18+'May 26'!BT18+'June 26'!BT18</f>
        <v>0</v>
      </c>
      <c r="BW18" s="7">
        <f>'July 25'!BU18 + 'August 25'!BU18 +'Sept 25'!BU18 + 'Oct 25'!BU18 + 'Nov 25'!BU18+ 'Dec 25'!BU18 +'Jan 26'!BU18+'Feb 26'!BU18+'March 26'!BU18+'April 26'!BU18+'May 26'!BU18+'June 26'!BU18</f>
        <v>0</v>
      </c>
      <c r="BX18" s="7">
        <f>'July 25'!BV18 + 'August 25'!BV18 +'Sept 25'!BV18 + 'Oct 25'!BV18 + 'Nov 25'!BV18+ 'Dec 25'!BV18 +'Jan 26'!BV18+'Feb 26'!BV18+'March 26'!BV18+'April 26'!BV18+'May 26'!BV18+'June 26'!BV18</f>
        <v>0</v>
      </c>
      <c r="BY18" s="7">
        <f>'July 25'!BW18 + 'August 25'!BW18 +'Sept 25'!BW18 + 'Oct 25'!BW18 + 'Nov 25'!BW18+ 'Dec 25'!BW18 +'Jan 26'!BW18+'Feb 26'!BW18+'March 26'!BW18+'April 26'!BW18+'May 26'!BW18+'June 26'!BW18</f>
        <v>220</v>
      </c>
      <c r="BZ18" s="7">
        <f>'July 25'!BX18 + 'August 25'!BX18 +'Sept 25'!BX18 + 'Oct 25'!BX18 + 'Nov 25'!BX18+ 'Dec 25'!BX18 +'Jan 26'!BX18+'Feb 26'!BX18+'March 26'!BX18+'April 26'!BX18+'May 26'!BX18+'June 26'!BX18</f>
        <v>0</v>
      </c>
      <c r="CA18" s="7">
        <f>'July 25'!BY18 + 'August 25'!BY18 +'Sept 25'!BY18 + 'Oct 25'!BY18 + 'Nov 25'!BY18+ 'Dec 25'!BY18 +'Jan 26'!BY18+'Feb 26'!BY18+'March 26'!BY18+'April 26'!BY18+'May 26'!BY18+'June 26'!BY18</f>
        <v>0</v>
      </c>
      <c r="CB18" s="7">
        <f>'July 25'!BZ18 + 'August 25'!BZ18 +'Sept 25'!BZ18 + 'Oct 25'!BZ18 + 'Nov 25'!BZ18+ 'Dec 25'!BZ18 +'Jan 26'!BZ18+'Feb 26'!BZ18+'March 26'!BZ18+'April 26'!BZ18+'May 26'!BZ18+'June 26'!BZ18</f>
        <v>0</v>
      </c>
      <c r="CC18" s="7">
        <f>'July 25'!CA18 + 'August 25'!CA18 +'Sept 25'!CA18 + 'Oct 25'!CA18 + 'Nov 25'!CA18+ 'Dec 25'!CA18 +'Jan 26'!CA18+'Feb 26'!CA18+'March 26'!CA18+'April 26'!CA18+'May 26'!CA18+'June 26'!CA18</f>
        <v>0</v>
      </c>
      <c r="CD18" s="7">
        <f>'July 25'!CB18 + 'August 25'!CB18 +'Sept 25'!CB18 + 'Oct 25'!CB18 + 'Nov 25'!CB18+ 'Dec 25'!CB18 +'Jan 26'!CB18+'Feb 26'!CB18+'March 26'!CB18+'April 26'!CB18+'May 26'!CB18+'June 26'!CB18</f>
        <v>0</v>
      </c>
      <c r="CE18" s="7">
        <f>'July 25'!CC18 + 'August 25'!CC18 +'Sept 25'!CC18 + 'Oct 25'!CC18 + 'Nov 25'!CC18+ 'Dec 25'!CC18 +'Jan 26'!CC18+'Feb 26'!CC18+'March 26'!CC18+'April 26'!CC18+'May 26'!CC18+'June 26'!CC18</f>
        <v>0</v>
      </c>
      <c r="CF18" s="8" cm="1">
        <f t="array" ref="CF18">SUMPRODUCT(--(UPPER($F$2:$CE$2)="NET NEW"),$F18:$CE18)</f>
        <v>920</v>
      </c>
      <c r="CG18" s="3">
        <f>SUMIF($F$2:$CE$2,"Enhance Existing",$F18:$CE18)</f>
        <v>0</v>
      </c>
      <c r="CH18" s="3">
        <f>SUMIF($F$2:$CE$2,"Maintenance",$F18:$CE18)</f>
        <v>620</v>
      </c>
    </row>
    <row r="19" spans="1:86" ht="15.95">
      <c r="A19" s="7" t="s">
        <v>56</v>
      </c>
      <c r="B19" s="7" t="s">
        <v>39</v>
      </c>
      <c r="C19" s="7" t="s">
        <v>59</v>
      </c>
      <c r="D19" s="12">
        <v>79</v>
      </c>
      <c r="E19" s="7"/>
      <c r="F19" s="7">
        <f>'July 25'!D19 + 'August 25'!D19 +'Sept 25'!D19 + 'Oct 25'!D19 + 'Nov 25'!D19+ 'Dec 25'!D19 +'Jan 26'!D19+'Feb 26'!D19+'March 26'!D19+'April 26'!D19+'May 26'!D19+'June 26'!D19</f>
        <v>30</v>
      </c>
      <c r="G19" s="7">
        <f>'July 25'!E19 + 'August 25'!E19 +'Sept 25'!E19 + 'Oct 25'!E19 + 'Nov 25'!E19+ 'Dec 25'!E19 +'Jan 26'!E19+'Feb 26'!E19+'March 26'!E19+'April 26'!E19+'May 26'!E19+'June 26'!E19</f>
        <v>0</v>
      </c>
      <c r="H19" s="7">
        <f>'July 25'!F19 + 'August 25'!F19 +'Sept 25'!F19 + 'Oct 25'!F19 + 'Nov 25'!F19+ 'Dec 25'!F19 +'Jan 26'!F19+'Feb 26'!F19+'March 26'!F19+'April 26'!F19+'May 26'!F19+'June 26'!F19</f>
        <v>80</v>
      </c>
      <c r="I19" s="7">
        <f>'July 25'!G19 + 'August 25'!G19 +'Sept 25'!G19 + 'Oct 25'!G19 + 'Nov 25'!G19+ 'Dec 25'!G19 +'Jan 26'!G19+'Feb 26'!G19+'March 26'!G19+'April 26'!G19+'May 26'!G19+'June 26'!G19</f>
        <v>0</v>
      </c>
      <c r="J19" s="7">
        <f>'July 25'!H19 + 'August 25'!H19 +'Sept 25'!H19 + 'Oct 25'!H19 + 'Nov 25'!H19+ 'Dec 25'!H19 +'Jan 26'!H19+'Feb 26'!H19+'March 26'!H19+'April 26'!H19+'May 26'!H19+'June 26'!H19</f>
        <v>0</v>
      </c>
      <c r="K19" s="7">
        <f>'July 25'!I19 + 'August 25'!I19 +'Sept 25'!I19 + 'Oct 25'!I19 + 'Nov 25'!I19+ 'Dec 25'!I19 +'Jan 26'!I19+'Feb 26'!I19+'March 26'!I19+'April 26'!I19+'May 26'!I19+'June 26'!I19</f>
        <v>0</v>
      </c>
      <c r="L19" s="7">
        <f>'July 25'!J19 + 'August 25'!J19 +'Sept 25'!J19 + 'Oct 25'!J19 + 'Nov 25'!J19+ 'Dec 25'!J19 +'Jan 26'!J19+'Feb 26'!J19+'March 26'!J19+'April 26'!J19+'May 26'!J19+'June 26'!J19</f>
        <v>0</v>
      </c>
      <c r="M19" s="7">
        <f>'July 25'!K19 + 'August 25'!K19 +'Sept 25'!K19 + 'Oct 25'!K19 + 'Nov 25'!K19+ 'Dec 25'!K19 +'Jan 26'!K19+'Feb 26'!K19+'March 26'!K19+'April 26'!K19+'May 26'!K19+'June 26'!K19</f>
        <v>0</v>
      </c>
      <c r="N19" s="7">
        <f>'July 25'!L19 + 'August 25'!L19 +'Sept 25'!L19 + 'Oct 25'!L19 + 'Nov 25'!L19+ 'Dec 25'!L19 +'Jan 26'!L19+'Feb 26'!L19+'March 26'!L19+'April 26'!L19+'May 26'!L19+'June 26'!L19</f>
        <v>0</v>
      </c>
      <c r="O19" s="7">
        <f>'July 25'!M19 + 'August 25'!M19 +'Sept 25'!M19 + 'Oct 25'!M19 + 'Nov 25'!M19+ 'Dec 25'!M19 +'Jan 26'!M19+'Feb 26'!M19+'March 26'!M19+'April 26'!M19+'May 26'!M19+'June 26'!M19</f>
        <v>0</v>
      </c>
      <c r="P19" s="7">
        <f>'July 25'!N19 + 'August 25'!N19 +'Sept 25'!N19 + 'Oct 25'!N19 + 'Nov 25'!N19+ 'Dec 25'!N19 +'Jan 26'!N19+'Feb 26'!N19+'March 26'!N19+'April 26'!N19+'May 26'!N19+'June 26'!N19</f>
        <v>10</v>
      </c>
      <c r="Q19" s="7">
        <f>'July 25'!O19 + 'August 25'!O19 +'Sept 25'!O19 + 'Oct 25'!O19 + 'Nov 25'!O19+ 'Dec 25'!O19 +'Jan 26'!O19+'Feb 26'!O19+'March 26'!O19+'April 26'!O19+'May 26'!O19+'June 26'!O19</f>
        <v>20</v>
      </c>
      <c r="R19" s="7">
        <f>'July 25'!P19 + 'August 25'!P19 +'Sept 25'!P19 + 'Oct 25'!P19 + 'Nov 25'!P19+ 'Dec 25'!P19 +'Jan 26'!P19+'Feb 26'!P19+'March 26'!P19+'April 26'!P19+'May 26'!P19+'June 26'!P19</f>
        <v>0</v>
      </c>
      <c r="S19" s="7">
        <f>'July 25'!Q19 + 'August 25'!Q19 +'Sept 25'!Q19 + 'Oct 25'!Q19 + 'Nov 25'!Q19+ 'Dec 25'!Q19 +'Jan 26'!Q19+'Feb 26'!Q19+'March 26'!Q19+'April 26'!Q19+'May 26'!Q19+'June 26'!Q19</f>
        <v>0</v>
      </c>
      <c r="T19" s="7">
        <f>'July 25'!R19 + 'August 25'!R19 +'Sept 25'!R19 + 'Oct 25'!R19 + 'Nov 25'!R19+ 'Dec 25'!R19 +'Jan 26'!R19+'Feb 26'!R19+'March 26'!R19+'April 26'!R19+'May 26'!R19+'June 26'!R19</f>
        <v>0</v>
      </c>
      <c r="U19" s="7">
        <f>'July 25'!S19 + 'August 25'!S19 +'Sept 25'!S19 + 'Oct 25'!S19 + 'Nov 25'!S19+ 'Dec 25'!S19 +'Jan 26'!S19+'Feb 26'!S19+'March 26'!S19+'April 26'!S19+'May 26'!S19+'June 26'!S19</f>
        <v>0</v>
      </c>
      <c r="V19" s="7">
        <f>'July 25'!T19 + 'August 25'!T19 +'Sept 25'!T19 + 'Oct 25'!T19 + 'Nov 25'!T19+ 'Dec 25'!T19 +'Jan 26'!T19+'Feb 26'!T19+'March 26'!T19+'April 26'!T19+'May 26'!T19+'June 26'!T19</f>
        <v>0</v>
      </c>
      <c r="W19" s="7">
        <f>'July 25'!U19 + 'August 25'!U19 +'Sept 25'!U19 + 'Oct 25'!U19 + 'Nov 25'!U19+ 'Dec 25'!U19 +'Jan 26'!U19+'Feb 26'!U19+'March 26'!U19+'April 26'!U19+'May 26'!U19+'June 26'!U19</f>
        <v>0</v>
      </c>
      <c r="X19" s="7">
        <f>'July 25'!V19 + 'August 25'!V19 +'Sept 25'!V19 + 'Oct 25'!V19 + 'Nov 25'!V19+ 'Dec 25'!V19 +'Jan 26'!V19+'Feb 26'!V19+'March 26'!V19+'April 26'!V19+'May 26'!V19+'June 26'!V19</f>
        <v>0</v>
      </c>
      <c r="Y19" s="7">
        <f>'July 25'!W19 + 'August 25'!W19 +'Sept 25'!W19 + 'Oct 25'!W19 + 'Nov 25'!W19+ 'Dec 25'!W19 +'Jan 26'!W19+'Feb 26'!W19+'March 26'!W19+'April 26'!W19+'May 26'!W19+'June 26'!W19</f>
        <v>0</v>
      </c>
      <c r="Z19" s="7">
        <f>'July 25'!X19 + 'August 25'!X19 +'Sept 25'!X19 + 'Oct 25'!X19 + 'Nov 25'!X19+ 'Dec 25'!X19 +'Jan 26'!X19+'Feb 26'!X19+'March 26'!X19+'April 26'!X19+'May 26'!X19+'June 26'!X19</f>
        <v>0</v>
      </c>
      <c r="AA19" s="7">
        <f>'July 25'!Y19 + 'August 25'!Y19 +'Sept 25'!Y19 + 'Oct 25'!Y19 + 'Nov 25'!Y19+ 'Dec 25'!Y19 +'Jan 26'!Y19+'Feb 26'!Y19+'March 26'!Y19+'April 26'!Y19+'May 26'!Y19+'June 26'!Y19</f>
        <v>0</v>
      </c>
      <c r="AB19" s="7">
        <f>'July 25'!Z19 + 'August 25'!Z19 +'Sept 25'!Z19 + 'Oct 25'!Z19 + 'Nov 25'!Z19+ 'Dec 25'!Z19 +'Jan 26'!Z19+'Feb 26'!Z19+'March 26'!Z19+'April 26'!Z19+'May 26'!Z19+'June 26'!Z19</f>
        <v>0</v>
      </c>
      <c r="AC19" s="7">
        <f>'July 25'!AA19 + 'August 25'!AA19 +'Sept 25'!AA19 + 'Oct 25'!AA19 + 'Nov 25'!AA19+ 'Dec 25'!AA19 +'Jan 26'!AA19+'Feb 26'!AA19+'March 26'!AA19+'April 26'!AA19+'May 26'!AA19+'June 26'!AA19</f>
        <v>0</v>
      </c>
      <c r="AD19" s="7">
        <f>'July 25'!AB19 + 'August 25'!AB19 +'Sept 25'!AB19 + 'Oct 25'!AB19 + 'Nov 25'!AB19+ 'Dec 25'!AB19 +'Jan 26'!AB19+'Feb 26'!AB19+'March 26'!AB19+'April 26'!AB19+'May 26'!AB19+'June 26'!AB19</f>
        <v>0</v>
      </c>
      <c r="AE19" s="7">
        <f>'July 25'!AC19 + 'August 25'!AC19 +'Sept 25'!AC19 + 'Oct 25'!AC19 + 'Nov 25'!AC19+ 'Dec 25'!AC19 +'Jan 26'!AC19+'Feb 26'!AC19+'March 26'!AC19+'April 26'!AC19+'May 26'!AC19+'June 26'!AC19</f>
        <v>0</v>
      </c>
      <c r="AF19" s="7">
        <f>'July 25'!AD19 + 'August 25'!AD19 +'Sept 25'!AD19 + 'Oct 25'!AD19 + 'Nov 25'!AD19+ 'Dec 25'!AD19 +'Jan 26'!AD19+'Feb 26'!AD19+'March 26'!AD19+'April 26'!AD19+'May 26'!AD19+'June 26'!AD19</f>
        <v>0</v>
      </c>
      <c r="AG19" s="7">
        <f>'July 25'!AE19 + 'August 25'!AE19 +'Sept 25'!AE19 + 'Oct 25'!AE19 + 'Nov 25'!AE19+ 'Dec 25'!AE19 +'Jan 26'!AE19+'Feb 26'!AE19+'March 26'!AE19+'April 26'!AE19+'May 26'!AE19+'June 26'!AE19</f>
        <v>0</v>
      </c>
      <c r="AH19" s="7">
        <f>'July 25'!AF19 + 'August 25'!AF19 +'Sept 25'!AF19 + 'Oct 25'!AF19 + 'Nov 25'!AF19+ 'Dec 25'!AF19 +'Jan 26'!AF19+'Feb 26'!AF19+'March 26'!AF19+'April 26'!AF19+'May 26'!AF19+'June 26'!AF19</f>
        <v>10</v>
      </c>
      <c r="AI19" s="7">
        <f>'July 25'!AG19 + 'August 25'!AG19 +'Sept 25'!AG19 + 'Oct 25'!AG19 + 'Nov 25'!AG19+ 'Dec 25'!AG19 +'Jan 26'!AG19+'Feb 26'!AG19+'March 26'!AG19+'April 26'!AG19+'May 26'!AG19+'June 26'!AG19</f>
        <v>0</v>
      </c>
      <c r="AJ19" s="7">
        <f>'July 25'!AH19 + 'August 25'!AH19 +'Sept 25'!AH19 + 'Oct 25'!AH19 + 'Nov 25'!AH19+ 'Dec 25'!AH19 +'Jan 26'!AH19+'Feb 26'!AH19+'March 26'!AH19+'April 26'!AH19+'May 26'!AH19+'June 26'!AH19</f>
        <v>0</v>
      </c>
      <c r="AK19" s="7">
        <f>'July 25'!AI19 + 'August 25'!AI19 +'Sept 25'!AI19 + 'Oct 25'!AI19 + 'Nov 25'!AI19+ 'Dec 25'!AI19 +'Jan 26'!AI19+'Feb 26'!AI19+'March 26'!AI19+'April 26'!AI19+'May 26'!AI19+'June 26'!AI19</f>
        <v>0</v>
      </c>
      <c r="AL19" s="7">
        <f>'July 25'!AJ19 + 'August 25'!AJ19 +'Sept 25'!AJ19 + 'Oct 25'!AJ19 + 'Nov 25'!AJ19+ 'Dec 25'!AJ19 +'Jan 26'!AJ19+'Feb 26'!AJ19+'March 26'!AJ19+'April 26'!AJ19+'May 26'!AJ19+'June 26'!AJ19</f>
        <v>5</v>
      </c>
      <c r="AM19" s="7">
        <f>'July 25'!AK19 + 'August 25'!AK19 +'Sept 25'!AK19 + 'Oct 25'!AK19 + 'Nov 25'!AK19+ 'Dec 25'!AK19 +'Jan 26'!AK19+'Feb 26'!AK19+'March 26'!AK19+'April 26'!AK19+'May 26'!AK19+'June 26'!AK19</f>
        <v>0</v>
      </c>
      <c r="AN19" s="7">
        <f>'July 25'!AL19 + 'August 25'!AL19 +'Sept 25'!AL19 + 'Oct 25'!AL19 + 'Nov 25'!AL19+ 'Dec 25'!AL19 +'Jan 26'!AL19+'Feb 26'!AL19+'March 26'!AL19+'April 26'!AL19+'May 26'!AL19+'June 26'!AL19</f>
        <v>0</v>
      </c>
      <c r="AO19" s="7">
        <f>'July 25'!AM19 + 'August 25'!AM19 +'Sept 25'!AM19 + 'Oct 25'!AM19 + 'Nov 25'!AM19+ 'Dec 25'!AM19 +'Jan 26'!AM19+'Feb 26'!AM19+'March 26'!AM19+'April 26'!AM19+'May 26'!AM19+'June 26'!AM19</f>
        <v>0</v>
      </c>
      <c r="AP19" s="7">
        <f>'July 25'!AN19 + 'August 25'!AN19 +'Sept 25'!AN19 + 'Oct 25'!AN19 + 'Nov 25'!AN19+ 'Dec 25'!AN19 +'Jan 26'!AN19+'Feb 26'!AN19+'March 26'!AN19+'April 26'!AN19+'May 26'!AN19+'June 26'!AN19</f>
        <v>0</v>
      </c>
      <c r="AQ19" s="7">
        <f>'July 25'!AO19 + 'August 25'!AO19 +'Sept 25'!AO19 + 'Oct 25'!AO19 + 'Nov 25'!AO19+ 'Dec 25'!AO19 +'Jan 26'!AO19+'Feb 26'!AO19+'March 26'!AO19+'April 26'!AO19+'May 26'!AO19+'June 26'!AO19</f>
        <v>0</v>
      </c>
      <c r="AR19" s="7">
        <f>'July 25'!AP19 + 'August 25'!AP19 +'Sept 25'!AP19 + 'Oct 25'!AP19 + 'Nov 25'!AP19+ 'Dec 25'!AP19 +'Jan 26'!AP19+'Feb 26'!AP19+'March 26'!AP19+'April 26'!AP19+'May 26'!AP19+'June 26'!AP19</f>
        <v>0</v>
      </c>
      <c r="AS19" s="7">
        <f>'July 25'!AQ19 + 'August 25'!AQ19 +'Sept 25'!AQ19 + 'Oct 25'!AQ19 + 'Nov 25'!AQ19+ 'Dec 25'!AQ19 +'Jan 26'!AQ19+'Feb 26'!AQ19+'March 26'!AQ19+'April 26'!AQ19+'May 26'!AQ19+'June 26'!AQ19</f>
        <v>0</v>
      </c>
      <c r="AT19" s="7">
        <f>'July 25'!AR19 + 'August 25'!AR19 +'Sept 25'!AR19 + 'Oct 25'!AR19 + 'Nov 25'!AR19+ 'Dec 25'!AR19 +'Jan 26'!AR19+'Feb 26'!AR19+'March 26'!AR19+'April 26'!AR19+'May 26'!AR19+'June 26'!AR19</f>
        <v>0</v>
      </c>
      <c r="AU19" s="7">
        <f>'July 25'!AS19 + 'August 25'!AS19 +'Sept 25'!AS19 + 'Oct 25'!AS19 + 'Nov 25'!AS19+ 'Dec 25'!AS19 +'Jan 26'!AS19+'Feb 26'!AS19+'March 26'!AS19+'April 26'!AS19+'May 26'!AS19+'June 26'!AS19</f>
        <v>0</v>
      </c>
      <c r="AV19" s="7">
        <f>'July 25'!AT19 + 'August 25'!AT19 +'Sept 25'!AT19 + 'Oct 25'!AT19 + 'Nov 25'!AT19+ 'Dec 25'!AT19 +'Jan 26'!AT19+'Feb 26'!AT19+'March 26'!AT19+'April 26'!AT19+'May 26'!AT19+'June 26'!AT19</f>
        <v>0</v>
      </c>
      <c r="AW19" s="7">
        <f>'July 25'!AU19 + 'August 25'!AU19 +'Sept 25'!AU19 + 'Oct 25'!AU19 + 'Nov 25'!AU19+ 'Dec 25'!AU19 +'Jan 26'!AU19+'Feb 26'!AU19+'March 26'!AU19+'April 26'!AU19+'May 26'!AU19+'June 26'!AU19</f>
        <v>0</v>
      </c>
      <c r="AX19" s="7">
        <f>'July 25'!AV19 + 'August 25'!AV19 +'Sept 25'!AV19 + 'Oct 25'!AV19 + 'Nov 25'!AV19+ 'Dec 25'!AV19 +'Jan 26'!AV19+'Feb 26'!AV19+'March 26'!AV19+'April 26'!AV19+'May 26'!AV19+'June 26'!AV19</f>
        <v>0</v>
      </c>
      <c r="AY19" s="7">
        <f>'July 25'!AW19 + 'August 25'!AW19 +'Sept 25'!AW19 + 'Oct 25'!AW19 + 'Nov 25'!AW19+ 'Dec 25'!AW19 +'Jan 26'!AW19+'Feb 26'!AW19+'March 26'!AW19+'April 26'!AW19+'May 26'!AW19+'June 26'!AW19</f>
        <v>0</v>
      </c>
      <c r="AZ19" s="7">
        <f>'July 25'!AX19 + 'August 25'!AX19 +'Sept 25'!AX19 + 'Oct 25'!AX19 + 'Nov 25'!AX19+ 'Dec 25'!AX19 +'Jan 26'!AX19+'Feb 26'!AX19+'March 26'!AX19+'April 26'!AX19+'May 26'!AX19+'June 26'!AX19</f>
        <v>0</v>
      </c>
      <c r="BA19" s="7">
        <f>'July 25'!AY19 + 'August 25'!AY19 +'Sept 25'!AY19 + 'Oct 25'!AY19 + 'Nov 25'!AY19+ 'Dec 25'!AY19 +'Jan 26'!AY19+'Feb 26'!AY19+'March 26'!AY19+'April 26'!AY19+'May 26'!AY19+'June 26'!AY19</f>
        <v>0</v>
      </c>
      <c r="BB19" s="7">
        <f>'July 25'!AZ19 + 'August 25'!AZ19 +'Sept 25'!AZ19 + 'Oct 25'!AZ19 + 'Nov 25'!AZ19+ 'Dec 25'!AZ19 +'Jan 26'!AZ19+'Feb 26'!AZ19+'March 26'!AZ19+'April 26'!AZ19+'May 26'!AZ19+'June 26'!AZ19</f>
        <v>0</v>
      </c>
      <c r="BC19" s="7">
        <f>'July 25'!BA19 + 'August 25'!BA19 +'Sept 25'!BA19 + 'Oct 25'!BA19 + 'Nov 25'!BA19+ 'Dec 25'!BA19 +'Jan 26'!BA19+'Feb 26'!BA19+'March 26'!BA19+'April 26'!BA19+'May 26'!BA19+'June 26'!BA19</f>
        <v>0</v>
      </c>
      <c r="BD19" s="7">
        <f>'July 25'!BB19 + 'August 25'!BB19 +'Sept 25'!BB19 + 'Oct 25'!BB19 + 'Nov 25'!BB19+ 'Dec 25'!BB19 +'Jan 26'!BB19+'Feb 26'!BB19+'March 26'!BB19+'April 26'!BB19+'May 26'!BB19+'June 26'!BB19</f>
        <v>0</v>
      </c>
      <c r="BE19" s="7">
        <f>'July 25'!BC19 + 'August 25'!BC19 +'Sept 25'!BC19 + 'Oct 25'!BC19 + 'Nov 25'!BC19+ 'Dec 25'!BC19 +'Jan 26'!BC19+'Feb 26'!BC19+'March 26'!BC19+'April 26'!BC19+'May 26'!BC19+'June 26'!BC19</f>
        <v>0</v>
      </c>
      <c r="BF19" s="7">
        <f>'July 25'!BD19 + 'August 25'!BD19 +'Sept 25'!BD19 + 'Oct 25'!BD19 + 'Nov 25'!BD19+ 'Dec 25'!BD19 +'Jan 26'!BD19+'Feb 26'!BD19+'March 26'!BD19+'April 26'!BD19+'May 26'!BD19+'June 26'!BD19</f>
        <v>0</v>
      </c>
      <c r="BG19" s="7">
        <f>'July 25'!BE19 + 'August 25'!BE19 +'Sept 25'!BE19 + 'Oct 25'!BE19 + 'Nov 25'!BE19+ 'Dec 25'!BE19 +'Jan 26'!BE19+'Feb 26'!BE19+'March 26'!BE19+'April 26'!BE19+'May 26'!BE19+'June 26'!BE19</f>
        <v>0</v>
      </c>
      <c r="BH19" s="7">
        <f>'July 25'!BF19 + 'August 25'!BF19 +'Sept 25'!BF19 + 'Oct 25'!BF19 + 'Nov 25'!BF19+ 'Dec 25'!BF19 +'Jan 26'!BF19+'Feb 26'!BF19+'March 26'!BF19+'April 26'!BF19+'May 26'!BF19+'June 26'!BF19</f>
        <v>0</v>
      </c>
      <c r="BI19" s="7">
        <f>'July 25'!BG19 + 'August 25'!BG19 +'Sept 25'!BG19 + 'Oct 25'!BG19 + 'Nov 25'!BG19+ 'Dec 25'!BG19 +'Jan 26'!BG19+'Feb 26'!BG19+'March 26'!BG19+'April 26'!BG19+'May 26'!BG19+'June 26'!BG19</f>
        <v>0</v>
      </c>
      <c r="BJ19" s="7">
        <f>'July 25'!BH19 + 'August 25'!BH19 +'Sept 25'!BH19 + 'Oct 25'!BH19 + 'Nov 25'!BH19+ 'Dec 25'!BH19 +'Jan 26'!BH19+'Feb 26'!BH19+'March 26'!BH19+'April 26'!BH19+'May 26'!BH19+'June 26'!BH19</f>
        <v>0</v>
      </c>
      <c r="BK19" s="7">
        <f>'July 25'!BI19 + 'August 25'!BI19 +'Sept 25'!BI19 + 'Oct 25'!BI19 + 'Nov 25'!BI19+ 'Dec 25'!BI19 +'Jan 26'!BI19+'Feb 26'!BI19+'March 26'!BI19+'April 26'!BI19+'May 26'!BI19+'June 26'!BI19</f>
        <v>0</v>
      </c>
      <c r="BL19" s="7">
        <f>'July 25'!BJ19 + 'August 25'!BJ19 +'Sept 25'!BJ19 + 'Oct 25'!BJ19 + 'Nov 25'!BJ19+ 'Dec 25'!BJ19 +'Jan 26'!BJ19+'Feb 26'!BJ19+'March 26'!BJ19+'April 26'!BJ19+'May 26'!BJ19+'June 26'!BJ19</f>
        <v>0</v>
      </c>
      <c r="BM19" s="7">
        <f>'July 25'!BK19 + 'August 25'!BK19 +'Sept 25'!BK19 + 'Oct 25'!BK19 + 'Nov 25'!BK19+ 'Dec 25'!BK19 +'Jan 26'!BK19+'Feb 26'!BK19+'March 26'!BK19+'April 26'!BK19+'May 26'!BK19+'June 26'!BK19</f>
        <v>0</v>
      </c>
      <c r="BN19" s="7">
        <f>'July 25'!BL19 + 'August 25'!BL19 +'Sept 25'!BL19 + 'Oct 25'!BL19 + 'Nov 25'!BL19+ 'Dec 25'!BL19 +'Jan 26'!BL19+'Feb 26'!BL19+'March 26'!BL19+'April 26'!BL19+'May 26'!BL19+'June 26'!BL19</f>
        <v>0</v>
      </c>
      <c r="BO19" s="7">
        <f>'July 25'!BM19 + 'August 25'!BM19 +'Sept 25'!BM19 + 'Oct 25'!BM19 + 'Nov 25'!BM19+ 'Dec 25'!BM19 +'Jan 26'!BM19+'Feb 26'!BM19+'March 26'!BM19+'April 26'!BM19+'May 26'!BM19+'June 26'!BM19</f>
        <v>0</v>
      </c>
      <c r="BP19" s="7">
        <f>'July 25'!BN19 + 'August 25'!BN19 +'Sept 25'!BN19 + 'Oct 25'!BN19 + 'Nov 25'!BN19+ 'Dec 25'!BN19 +'Jan 26'!BN19+'Feb 26'!BN19+'March 26'!BN19+'April 26'!BN19+'May 26'!BN19+'June 26'!BN19</f>
        <v>0</v>
      </c>
      <c r="BQ19" s="7">
        <f>'July 25'!BO19 + 'August 25'!BO19 +'Sept 25'!BO19 + 'Oct 25'!BO19 + 'Nov 25'!BO19+ 'Dec 25'!BO19 +'Jan 26'!BO19+'Feb 26'!BO19+'March 26'!BO19+'April 26'!BO19+'May 26'!BO19+'June 26'!BO19</f>
        <v>0</v>
      </c>
      <c r="BR19" s="7">
        <f>'July 25'!BP19 + 'August 25'!BP19 +'Sept 25'!BP19 + 'Oct 25'!BP19 + 'Nov 25'!BP19+ 'Dec 25'!BP19 +'Jan 26'!BP19+'Feb 26'!BP19+'March 26'!BP19+'April 26'!BP19+'May 26'!BP19+'June 26'!BP19</f>
        <v>0</v>
      </c>
      <c r="BS19" s="7">
        <f>'July 25'!BQ19 + 'August 25'!BQ19 +'Sept 25'!BQ19 + 'Oct 25'!BQ19 + 'Nov 25'!BQ19+ 'Dec 25'!BQ19 +'Jan 26'!BQ19+'Feb 26'!BQ19+'March 26'!BQ19+'April 26'!BQ19+'May 26'!BQ19+'June 26'!BQ19</f>
        <v>0</v>
      </c>
      <c r="BT19" s="7">
        <f>'July 25'!BR19 + 'August 25'!BR19 +'Sept 25'!BR19 + 'Oct 25'!BR19 + 'Nov 25'!BR19+ 'Dec 25'!BR19 +'Jan 26'!BR19+'Feb 26'!BR19+'March 26'!BR19+'April 26'!BR19+'May 26'!BR19+'June 26'!BR19</f>
        <v>0</v>
      </c>
      <c r="BU19" s="7">
        <f>'July 25'!BS19 + 'August 25'!BS19 +'Sept 25'!BS19 + 'Oct 25'!BS19 + 'Nov 25'!BS19+ 'Dec 25'!BS19 +'Jan 26'!BS19+'Feb 26'!BS19+'March 26'!BS19+'April 26'!BS19+'May 26'!BS19+'June 26'!BS19</f>
        <v>0</v>
      </c>
      <c r="BV19" s="7">
        <f>'July 25'!BT19 + 'August 25'!BT19 +'Sept 25'!BT19 + 'Oct 25'!BT19 + 'Nov 25'!BT19+ 'Dec 25'!BT19 +'Jan 26'!BT19+'Feb 26'!BT19+'March 26'!BT19+'April 26'!BT19+'May 26'!BT19+'June 26'!BT19</f>
        <v>0</v>
      </c>
      <c r="BW19" s="7">
        <f>'July 25'!BU19 + 'August 25'!BU19 +'Sept 25'!BU19 + 'Oct 25'!BU19 + 'Nov 25'!BU19+ 'Dec 25'!BU19 +'Jan 26'!BU19+'Feb 26'!BU19+'March 26'!BU19+'April 26'!BU19+'May 26'!BU19+'June 26'!BU19</f>
        <v>0</v>
      </c>
      <c r="BX19" s="7">
        <f>'July 25'!BV19 + 'August 25'!BV19 +'Sept 25'!BV19 + 'Oct 25'!BV19 + 'Nov 25'!BV19+ 'Dec 25'!BV19 +'Jan 26'!BV19+'Feb 26'!BV19+'March 26'!BV19+'April 26'!BV19+'May 26'!BV19+'June 26'!BV19</f>
        <v>0</v>
      </c>
      <c r="BY19" s="7">
        <f>'July 25'!BW19 + 'August 25'!BW19 +'Sept 25'!BW19 + 'Oct 25'!BW19 + 'Nov 25'!BW19+ 'Dec 25'!BW19 +'Jan 26'!BW19+'Feb 26'!BW19+'March 26'!BW19+'April 26'!BW19+'May 26'!BW19+'June 26'!BW19</f>
        <v>1275</v>
      </c>
      <c r="BZ19" s="7">
        <f>'July 25'!BX19 + 'August 25'!BX19 +'Sept 25'!BX19 + 'Oct 25'!BX19 + 'Nov 25'!BX19+ 'Dec 25'!BX19 +'Jan 26'!BX19+'Feb 26'!BX19+'March 26'!BX19+'April 26'!BX19+'May 26'!BX19+'June 26'!BX19</f>
        <v>0</v>
      </c>
      <c r="CA19" s="7">
        <f>'July 25'!BY19 + 'August 25'!BY19 +'Sept 25'!BY19 + 'Oct 25'!BY19 + 'Nov 25'!BY19+ 'Dec 25'!BY19 +'Jan 26'!BY19+'Feb 26'!BY19+'March 26'!BY19+'April 26'!BY19+'May 26'!BY19+'June 26'!BY19</f>
        <v>0</v>
      </c>
      <c r="CB19" s="7">
        <f>'July 25'!BZ19 + 'August 25'!BZ19 +'Sept 25'!BZ19 + 'Oct 25'!BZ19 + 'Nov 25'!BZ19+ 'Dec 25'!BZ19 +'Jan 26'!BZ19+'Feb 26'!BZ19+'March 26'!BZ19+'April 26'!BZ19+'May 26'!BZ19+'June 26'!BZ19</f>
        <v>0</v>
      </c>
      <c r="CC19" s="7">
        <f>'July 25'!CA19 + 'August 25'!CA19 +'Sept 25'!CA19 + 'Oct 25'!CA19 + 'Nov 25'!CA19+ 'Dec 25'!CA19 +'Jan 26'!CA19+'Feb 26'!CA19+'March 26'!CA19+'April 26'!CA19+'May 26'!CA19+'June 26'!CA19</f>
        <v>0</v>
      </c>
      <c r="CD19" s="7">
        <f>'July 25'!CB19 + 'August 25'!CB19 +'Sept 25'!CB19 + 'Oct 25'!CB19 + 'Nov 25'!CB19+ 'Dec 25'!CB19 +'Jan 26'!CB19+'Feb 26'!CB19+'March 26'!CB19+'April 26'!CB19+'May 26'!CB19+'June 26'!CB19</f>
        <v>0</v>
      </c>
      <c r="CE19" s="7">
        <f>'July 25'!CC19 + 'August 25'!CC19 +'Sept 25'!CC19 + 'Oct 25'!CC19 + 'Nov 25'!CC19+ 'Dec 25'!CC19 +'Jan 26'!CC19+'Feb 26'!CC19+'March 26'!CC19+'April 26'!CC19+'May 26'!CC19+'June 26'!CC19</f>
        <v>0</v>
      </c>
      <c r="CF19" s="8" cm="1">
        <f t="array" ref="CF19">SUMPRODUCT(--(UPPER($F$2:$CE$2)="NET NEW"),$F19:$CE19)</f>
        <v>30</v>
      </c>
      <c r="CG19" s="3">
        <f>SUMIF($F$2:$CE$2,"Enhance Existing",$F19:$CE19)</f>
        <v>20</v>
      </c>
      <c r="CH19" s="3">
        <f>SUMIF($F$2:$CE$2,"Maintenance",$F19:$CE19)</f>
        <v>1380</v>
      </c>
    </row>
    <row r="20" spans="1:86" ht="15.95">
      <c r="A20" s="7" t="s">
        <v>56</v>
      </c>
      <c r="B20" s="7" t="s">
        <v>39</v>
      </c>
      <c r="C20" s="7" t="s">
        <v>60</v>
      </c>
      <c r="D20" s="12">
        <v>80</v>
      </c>
      <c r="E20" s="7"/>
      <c r="F20" s="7">
        <f>'July 25'!D20 + 'August 25'!D20 +'Sept 25'!D20 + 'Oct 25'!D20 + 'Nov 25'!D20+ 'Dec 25'!D20 +'Jan 26'!D20+'Feb 26'!D20+'March 26'!D20+'April 26'!D20+'May 26'!D20+'June 26'!D20</f>
        <v>990</v>
      </c>
      <c r="G20" s="7">
        <f>'July 25'!E20 + 'August 25'!E20 +'Sept 25'!E20 + 'Oct 25'!E20 + 'Nov 25'!E20+ 'Dec 25'!E20 +'Jan 26'!E20+'Feb 26'!E20+'March 26'!E20+'April 26'!E20+'May 26'!E20+'June 26'!E20</f>
        <v>0</v>
      </c>
      <c r="H20" s="7">
        <f>'July 25'!F20 + 'August 25'!F20 +'Sept 25'!F20 + 'Oct 25'!F20 + 'Nov 25'!F20+ 'Dec 25'!F20 +'Jan 26'!F20+'Feb 26'!F20+'March 26'!F20+'April 26'!F20+'May 26'!F20+'June 26'!F20</f>
        <v>170</v>
      </c>
      <c r="I20" s="7">
        <f>'July 25'!G20 + 'August 25'!G20 +'Sept 25'!G20 + 'Oct 25'!G20 + 'Nov 25'!G20+ 'Dec 25'!G20 +'Jan 26'!G20+'Feb 26'!G20+'March 26'!G20+'April 26'!G20+'May 26'!G20+'June 26'!G20</f>
        <v>0</v>
      </c>
      <c r="J20" s="7">
        <f>'July 25'!H20 + 'August 25'!H20 +'Sept 25'!H20 + 'Oct 25'!H20 + 'Nov 25'!H20+ 'Dec 25'!H20 +'Jan 26'!H20+'Feb 26'!H20+'March 26'!H20+'April 26'!H20+'May 26'!H20+'June 26'!H20</f>
        <v>0</v>
      </c>
      <c r="K20" s="7">
        <f>'July 25'!I20 + 'August 25'!I20 +'Sept 25'!I20 + 'Oct 25'!I20 + 'Nov 25'!I20+ 'Dec 25'!I20 +'Jan 26'!I20+'Feb 26'!I20+'March 26'!I20+'April 26'!I20+'May 26'!I20+'June 26'!I20</f>
        <v>0</v>
      </c>
      <c r="L20" s="7">
        <f>'July 25'!J20 + 'August 25'!J20 +'Sept 25'!J20 + 'Oct 25'!J20 + 'Nov 25'!J20+ 'Dec 25'!J20 +'Jan 26'!J20+'Feb 26'!J20+'March 26'!J20+'April 26'!J20+'May 26'!J20+'June 26'!J20</f>
        <v>0</v>
      </c>
      <c r="M20" s="7">
        <f>'July 25'!K20 + 'August 25'!K20 +'Sept 25'!K20 + 'Oct 25'!K20 + 'Nov 25'!K20+ 'Dec 25'!K20 +'Jan 26'!K20+'Feb 26'!K20+'March 26'!K20+'April 26'!K20+'May 26'!K20+'June 26'!K20</f>
        <v>0</v>
      </c>
      <c r="N20" s="7">
        <f>'July 25'!L20 + 'August 25'!L20 +'Sept 25'!L20 + 'Oct 25'!L20 + 'Nov 25'!L20+ 'Dec 25'!L20 +'Jan 26'!L20+'Feb 26'!L20+'March 26'!L20+'April 26'!L20+'May 26'!L20+'June 26'!L20</f>
        <v>0</v>
      </c>
      <c r="O20" s="7">
        <f>'July 25'!M20 + 'August 25'!M20 +'Sept 25'!M20 + 'Oct 25'!M20 + 'Nov 25'!M20+ 'Dec 25'!M20 +'Jan 26'!M20+'Feb 26'!M20+'March 26'!M20+'April 26'!M20+'May 26'!M20+'June 26'!M20</f>
        <v>0</v>
      </c>
      <c r="P20" s="7">
        <f>'July 25'!N20 + 'August 25'!N20 +'Sept 25'!N20 + 'Oct 25'!N20 + 'Nov 25'!N20+ 'Dec 25'!N20 +'Jan 26'!N20+'Feb 26'!N20+'March 26'!N20+'April 26'!N20+'May 26'!N20+'June 26'!N20</f>
        <v>50</v>
      </c>
      <c r="Q20" s="7">
        <f>'July 25'!O20 + 'August 25'!O20 +'Sept 25'!O20 + 'Oct 25'!O20 + 'Nov 25'!O20+ 'Dec 25'!O20 +'Jan 26'!O20+'Feb 26'!O20+'March 26'!O20+'April 26'!O20+'May 26'!O20+'June 26'!O20</f>
        <v>20</v>
      </c>
      <c r="R20" s="7">
        <f>'July 25'!P20 + 'August 25'!P20 +'Sept 25'!P20 + 'Oct 25'!P20 + 'Nov 25'!P20+ 'Dec 25'!P20 +'Jan 26'!P20+'Feb 26'!P20+'March 26'!P20+'April 26'!P20+'May 26'!P20+'June 26'!P20</f>
        <v>0</v>
      </c>
      <c r="S20" s="7">
        <f>'July 25'!Q20 + 'August 25'!Q20 +'Sept 25'!Q20 + 'Oct 25'!Q20 + 'Nov 25'!Q20+ 'Dec 25'!Q20 +'Jan 26'!Q20+'Feb 26'!Q20+'March 26'!Q20+'April 26'!Q20+'May 26'!Q20+'June 26'!Q20</f>
        <v>0</v>
      </c>
      <c r="T20" s="7">
        <f>'July 25'!R20 + 'August 25'!R20 +'Sept 25'!R20 + 'Oct 25'!R20 + 'Nov 25'!R20+ 'Dec 25'!R20 +'Jan 26'!R20+'Feb 26'!R20+'March 26'!R20+'April 26'!R20+'May 26'!R20+'June 26'!R20</f>
        <v>0</v>
      </c>
      <c r="U20" s="7">
        <f>'July 25'!S20 + 'August 25'!S20 +'Sept 25'!S20 + 'Oct 25'!S20 + 'Nov 25'!S20+ 'Dec 25'!S20 +'Jan 26'!S20+'Feb 26'!S20+'March 26'!S20+'April 26'!S20+'May 26'!S20+'June 26'!S20</f>
        <v>0</v>
      </c>
      <c r="V20" s="7">
        <f>'July 25'!T20 + 'August 25'!T20 +'Sept 25'!T20 + 'Oct 25'!T20 + 'Nov 25'!T20+ 'Dec 25'!T20 +'Jan 26'!T20+'Feb 26'!T20+'March 26'!T20+'April 26'!T20+'May 26'!T20+'June 26'!T20</f>
        <v>0</v>
      </c>
      <c r="W20" s="7">
        <f>'July 25'!U20 + 'August 25'!U20 +'Sept 25'!U20 + 'Oct 25'!U20 + 'Nov 25'!U20+ 'Dec 25'!U20 +'Jan 26'!U20+'Feb 26'!U20+'March 26'!U20+'April 26'!U20+'May 26'!U20+'June 26'!U20</f>
        <v>0</v>
      </c>
      <c r="X20" s="7">
        <f>'July 25'!V20 + 'August 25'!V20 +'Sept 25'!V20 + 'Oct 25'!V20 + 'Nov 25'!V20+ 'Dec 25'!V20 +'Jan 26'!V20+'Feb 26'!V20+'March 26'!V20+'April 26'!V20+'May 26'!V20+'June 26'!V20</f>
        <v>0</v>
      </c>
      <c r="Y20" s="7">
        <f>'July 25'!W20 + 'August 25'!W20 +'Sept 25'!W20 + 'Oct 25'!W20 + 'Nov 25'!W20+ 'Dec 25'!W20 +'Jan 26'!W20+'Feb 26'!W20+'March 26'!W20+'April 26'!W20+'May 26'!W20+'June 26'!W20</f>
        <v>0</v>
      </c>
      <c r="Z20" s="7">
        <f>'July 25'!X20 + 'August 25'!X20 +'Sept 25'!X20 + 'Oct 25'!X20 + 'Nov 25'!X20+ 'Dec 25'!X20 +'Jan 26'!X20+'Feb 26'!X20+'March 26'!X20+'April 26'!X20+'May 26'!X20+'June 26'!X20</f>
        <v>0</v>
      </c>
      <c r="AA20" s="7">
        <f>'July 25'!Y20 + 'August 25'!Y20 +'Sept 25'!Y20 + 'Oct 25'!Y20 + 'Nov 25'!Y20+ 'Dec 25'!Y20 +'Jan 26'!Y20+'Feb 26'!Y20+'March 26'!Y20+'April 26'!Y20+'May 26'!Y20+'June 26'!Y20</f>
        <v>0</v>
      </c>
      <c r="AB20" s="7">
        <f>'July 25'!Z20 + 'August 25'!Z20 +'Sept 25'!Z20 + 'Oct 25'!Z20 + 'Nov 25'!Z20+ 'Dec 25'!Z20 +'Jan 26'!Z20+'Feb 26'!Z20+'March 26'!Z20+'April 26'!Z20+'May 26'!Z20+'June 26'!Z20</f>
        <v>0</v>
      </c>
      <c r="AC20" s="7">
        <f>'July 25'!AA20 + 'August 25'!AA20 +'Sept 25'!AA20 + 'Oct 25'!AA20 + 'Nov 25'!AA20+ 'Dec 25'!AA20 +'Jan 26'!AA20+'Feb 26'!AA20+'March 26'!AA20+'April 26'!AA20+'May 26'!AA20+'June 26'!AA20</f>
        <v>0</v>
      </c>
      <c r="AD20" s="7">
        <f>'July 25'!AB20 + 'August 25'!AB20 +'Sept 25'!AB20 + 'Oct 25'!AB20 + 'Nov 25'!AB20+ 'Dec 25'!AB20 +'Jan 26'!AB20+'Feb 26'!AB20+'March 26'!AB20+'April 26'!AB20+'May 26'!AB20+'June 26'!AB20</f>
        <v>0</v>
      </c>
      <c r="AE20" s="7">
        <f>'July 25'!AC20 + 'August 25'!AC20 +'Sept 25'!AC20 + 'Oct 25'!AC20 + 'Nov 25'!AC20+ 'Dec 25'!AC20 +'Jan 26'!AC20+'Feb 26'!AC20+'March 26'!AC20+'April 26'!AC20+'May 26'!AC20+'June 26'!AC20</f>
        <v>0</v>
      </c>
      <c r="AF20" s="7">
        <f>'July 25'!AD20 + 'August 25'!AD20 +'Sept 25'!AD20 + 'Oct 25'!AD20 + 'Nov 25'!AD20+ 'Dec 25'!AD20 +'Jan 26'!AD20+'Feb 26'!AD20+'March 26'!AD20+'April 26'!AD20+'May 26'!AD20+'June 26'!AD20</f>
        <v>50</v>
      </c>
      <c r="AG20" s="7">
        <f>'July 25'!AE20 + 'August 25'!AE20 +'Sept 25'!AE20 + 'Oct 25'!AE20 + 'Nov 25'!AE20+ 'Dec 25'!AE20 +'Jan 26'!AE20+'Feb 26'!AE20+'March 26'!AE20+'April 26'!AE20+'May 26'!AE20+'June 26'!AE20</f>
        <v>0</v>
      </c>
      <c r="AH20" s="7">
        <f>'July 25'!AF20 + 'August 25'!AF20 +'Sept 25'!AF20 + 'Oct 25'!AF20 + 'Nov 25'!AF20+ 'Dec 25'!AF20 +'Jan 26'!AF20+'Feb 26'!AF20+'March 26'!AF20+'April 26'!AF20+'May 26'!AF20+'June 26'!AF20</f>
        <v>0</v>
      </c>
      <c r="AI20" s="7">
        <f>'July 25'!AG20 + 'August 25'!AG20 +'Sept 25'!AG20 + 'Oct 25'!AG20 + 'Nov 25'!AG20+ 'Dec 25'!AG20 +'Jan 26'!AG20+'Feb 26'!AG20+'March 26'!AG20+'April 26'!AG20+'May 26'!AG20+'June 26'!AG20</f>
        <v>0</v>
      </c>
      <c r="AJ20" s="7">
        <f>'July 25'!AH20 + 'August 25'!AH20 +'Sept 25'!AH20 + 'Oct 25'!AH20 + 'Nov 25'!AH20+ 'Dec 25'!AH20 +'Jan 26'!AH20+'Feb 26'!AH20+'March 26'!AH20+'April 26'!AH20+'May 26'!AH20+'June 26'!AH20</f>
        <v>0</v>
      </c>
      <c r="AK20" s="7">
        <f>'July 25'!AI20 + 'August 25'!AI20 +'Sept 25'!AI20 + 'Oct 25'!AI20 + 'Nov 25'!AI20+ 'Dec 25'!AI20 +'Jan 26'!AI20+'Feb 26'!AI20+'March 26'!AI20+'April 26'!AI20+'May 26'!AI20+'June 26'!AI20</f>
        <v>0</v>
      </c>
      <c r="AL20" s="7">
        <f>'July 25'!AJ20 + 'August 25'!AJ20 +'Sept 25'!AJ20 + 'Oct 25'!AJ20 + 'Nov 25'!AJ20+ 'Dec 25'!AJ20 +'Jan 26'!AJ20+'Feb 26'!AJ20+'March 26'!AJ20+'April 26'!AJ20+'May 26'!AJ20+'June 26'!AJ20</f>
        <v>50</v>
      </c>
      <c r="AM20" s="7">
        <f>'July 25'!AK20 + 'August 25'!AK20 +'Sept 25'!AK20 + 'Oct 25'!AK20 + 'Nov 25'!AK20+ 'Dec 25'!AK20 +'Jan 26'!AK20+'Feb 26'!AK20+'March 26'!AK20+'April 26'!AK20+'May 26'!AK20+'June 26'!AK20</f>
        <v>0</v>
      </c>
      <c r="AN20" s="7">
        <f>'July 25'!AL20 + 'August 25'!AL20 +'Sept 25'!AL20 + 'Oct 25'!AL20 + 'Nov 25'!AL20+ 'Dec 25'!AL20 +'Jan 26'!AL20+'Feb 26'!AL20+'March 26'!AL20+'April 26'!AL20+'May 26'!AL20+'June 26'!AL20</f>
        <v>0</v>
      </c>
      <c r="AO20" s="7">
        <f>'July 25'!AM20 + 'August 25'!AM20 +'Sept 25'!AM20 + 'Oct 25'!AM20 + 'Nov 25'!AM20+ 'Dec 25'!AM20 +'Jan 26'!AM20+'Feb 26'!AM20+'March 26'!AM20+'April 26'!AM20+'May 26'!AM20+'June 26'!AM20</f>
        <v>0</v>
      </c>
      <c r="AP20" s="7">
        <f>'July 25'!AN20 + 'August 25'!AN20 +'Sept 25'!AN20 + 'Oct 25'!AN20 + 'Nov 25'!AN20+ 'Dec 25'!AN20 +'Jan 26'!AN20+'Feb 26'!AN20+'March 26'!AN20+'April 26'!AN20+'May 26'!AN20+'June 26'!AN20</f>
        <v>0</v>
      </c>
      <c r="AQ20" s="7">
        <f>'July 25'!AO20 + 'August 25'!AO20 +'Sept 25'!AO20 + 'Oct 25'!AO20 + 'Nov 25'!AO20+ 'Dec 25'!AO20 +'Jan 26'!AO20+'Feb 26'!AO20+'March 26'!AO20+'April 26'!AO20+'May 26'!AO20+'June 26'!AO20</f>
        <v>0</v>
      </c>
      <c r="AR20" s="7">
        <f>'July 25'!AP20 + 'August 25'!AP20 +'Sept 25'!AP20 + 'Oct 25'!AP20 + 'Nov 25'!AP20+ 'Dec 25'!AP20 +'Jan 26'!AP20+'Feb 26'!AP20+'March 26'!AP20+'April 26'!AP20+'May 26'!AP20+'June 26'!AP20</f>
        <v>0</v>
      </c>
      <c r="AS20" s="7">
        <f>'July 25'!AQ20 + 'August 25'!AQ20 +'Sept 25'!AQ20 + 'Oct 25'!AQ20 + 'Nov 25'!AQ20+ 'Dec 25'!AQ20 +'Jan 26'!AQ20+'Feb 26'!AQ20+'March 26'!AQ20+'April 26'!AQ20+'May 26'!AQ20+'June 26'!AQ20</f>
        <v>0</v>
      </c>
      <c r="AT20" s="7">
        <f>'July 25'!AR20 + 'August 25'!AR20 +'Sept 25'!AR20 + 'Oct 25'!AR20 + 'Nov 25'!AR20+ 'Dec 25'!AR20 +'Jan 26'!AR20+'Feb 26'!AR20+'March 26'!AR20+'April 26'!AR20+'May 26'!AR20+'June 26'!AR20</f>
        <v>0</v>
      </c>
      <c r="AU20" s="7">
        <f>'July 25'!AS20 + 'August 25'!AS20 +'Sept 25'!AS20 + 'Oct 25'!AS20 + 'Nov 25'!AS20+ 'Dec 25'!AS20 +'Jan 26'!AS20+'Feb 26'!AS20+'March 26'!AS20+'April 26'!AS20+'May 26'!AS20+'June 26'!AS20</f>
        <v>0</v>
      </c>
      <c r="AV20" s="7">
        <f>'July 25'!AT20 + 'August 25'!AT20 +'Sept 25'!AT20 + 'Oct 25'!AT20 + 'Nov 25'!AT20+ 'Dec 25'!AT20 +'Jan 26'!AT20+'Feb 26'!AT20+'March 26'!AT20+'April 26'!AT20+'May 26'!AT20+'June 26'!AT20</f>
        <v>0</v>
      </c>
      <c r="AW20" s="7">
        <f>'July 25'!AU20 + 'August 25'!AU20 +'Sept 25'!AU20 + 'Oct 25'!AU20 + 'Nov 25'!AU20+ 'Dec 25'!AU20 +'Jan 26'!AU20+'Feb 26'!AU20+'March 26'!AU20+'April 26'!AU20+'May 26'!AU20+'June 26'!AU20</f>
        <v>0</v>
      </c>
      <c r="AX20" s="7">
        <f>'July 25'!AV20 + 'August 25'!AV20 +'Sept 25'!AV20 + 'Oct 25'!AV20 + 'Nov 25'!AV20+ 'Dec 25'!AV20 +'Jan 26'!AV20+'Feb 26'!AV20+'March 26'!AV20+'April 26'!AV20+'May 26'!AV20+'June 26'!AV20</f>
        <v>0</v>
      </c>
      <c r="AY20" s="7">
        <f>'July 25'!AW20 + 'August 25'!AW20 +'Sept 25'!AW20 + 'Oct 25'!AW20 + 'Nov 25'!AW20+ 'Dec 25'!AW20 +'Jan 26'!AW20+'Feb 26'!AW20+'March 26'!AW20+'April 26'!AW20+'May 26'!AW20+'June 26'!AW20</f>
        <v>0</v>
      </c>
      <c r="AZ20" s="7">
        <f>'July 25'!AX20 + 'August 25'!AX20 +'Sept 25'!AX20 + 'Oct 25'!AX20 + 'Nov 25'!AX20+ 'Dec 25'!AX20 +'Jan 26'!AX20+'Feb 26'!AX20+'March 26'!AX20+'April 26'!AX20+'May 26'!AX20+'June 26'!AX20</f>
        <v>0</v>
      </c>
      <c r="BA20" s="7">
        <f>'July 25'!AY20 + 'August 25'!AY20 +'Sept 25'!AY20 + 'Oct 25'!AY20 + 'Nov 25'!AY20+ 'Dec 25'!AY20 +'Jan 26'!AY20+'Feb 26'!AY20+'March 26'!AY20+'April 26'!AY20+'May 26'!AY20+'June 26'!AY20</f>
        <v>0</v>
      </c>
      <c r="BB20" s="7">
        <f>'July 25'!AZ20 + 'August 25'!AZ20 +'Sept 25'!AZ20 + 'Oct 25'!AZ20 + 'Nov 25'!AZ20+ 'Dec 25'!AZ20 +'Jan 26'!AZ20+'Feb 26'!AZ20+'March 26'!AZ20+'April 26'!AZ20+'May 26'!AZ20+'June 26'!AZ20</f>
        <v>0</v>
      </c>
      <c r="BC20" s="7">
        <f>'July 25'!BA20 + 'August 25'!BA20 +'Sept 25'!BA20 + 'Oct 25'!BA20 + 'Nov 25'!BA20+ 'Dec 25'!BA20 +'Jan 26'!BA20+'Feb 26'!BA20+'March 26'!BA20+'April 26'!BA20+'May 26'!BA20+'June 26'!BA20</f>
        <v>0</v>
      </c>
      <c r="BD20" s="7">
        <f>'July 25'!BB20 + 'August 25'!BB20 +'Sept 25'!BB20 + 'Oct 25'!BB20 + 'Nov 25'!BB20+ 'Dec 25'!BB20 +'Jan 26'!BB20+'Feb 26'!BB20+'March 26'!BB20+'April 26'!BB20+'May 26'!BB20+'June 26'!BB20</f>
        <v>0</v>
      </c>
      <c r="BE20" s="7">
        <f>'July 25'!BC20 + 'August 25'!BC20 +'Sept 25'!BC20 + 'Oct 25'!BC20 + 'Nov 25'!BC20+ 'Dec 25'!BC20 +'Jan 26'!BC20+'Feb 26'!BC20+'March 26'!BC20+'April 26'!BC20+'May 26'!BC20+'June 26'!BC20</f>
        <v>0</v>
      </c>
      <c r="BF20" s="7">
        <f>'July 25'!BD20 + 'August 25'!BD20 +'Sept 25'!BD20 + 'Oct 25'!BD20 + 'Nov 25'!BD20+ 'Dec 25'!BD20 +'Jan 26'!BD20+'Feb 26'!BD20+'March 26'!BD20+'April 26'!BD20+'May 26'!BD20+'June 26'!BD20</f>
        <v>0</v>
      </c>
      <c r="BG20" s="7">
        <f>'July 25'!BE20 + 'August 25'!BE20 +'Sept 25'!BE20 + 'Oct 25'!BE20 + 'Nov 25'!BE20+ 'Dec 25'!BE20 +'Jan 26'!BE20+'Feb 26'!BE20+'March 26'!BE20+'April 26'!BE20+'May 26'!BE20+'June 26'!BE20</f>
        <v>0</v>
      </c>
      <c r="BH20" s="7">
        <f>'July 25'!BF20 + 'August 25'!BF20 +'Sept 25'!BF20 + 'Oct 25'!BF20 + 'Nov 25'!BF20+ 'Dec 25'!BF20 +'Jan 26'!BF20+'Feb 26'!BF20+'March 26'!BF20+'April 26'!BF20+'May 26'!BF20+'June 26'!BF20</f>
        <v>0</v>
      </c>
      <c r="BI20" s="7">
        <f>'July 25'!BG20 + 'August 25'!BG20 +'Sept 25'!BG20 + 'Oct 25'!BG20 + 'Nov 25'!BG20+ 'Dec 25'!BG20 +'Jan 26'!BG20+'Feb 26'!BG20+'March 26'!BG20+'April 26'!BG20+'May 26'!BG20+'June 26'!BG20</f>
        <v>0</v>
      </c>
      <c r="BJ20" s="7">
        <f>'July 25'!BH20 + 'August 25'!BH20 +'Sept 25'!BH20 + 'Oct 25'!BH20 + 'Nov 25'!BH20+ 'Dec 25'!BH20 +'Jan 26'!BH20+'Feb 26'!BH20+'March 26'!BH20+'April 26'!BH20+'May 26'!BH20+'June 26'!BH20</f>
        <v>0</v>
      </c>
      <c r="BK20" s="7">
        <f>'July 25'!BI20 + 'August 25'!BI20 +'Sept 25'!BI20 + 'Oct 25'!BI20 + 'Nov 25'!BI20+ 'Dec 25'!BI20 +'Jan 26'!BI20+'Feb 26'!BI20+'March 26'!BI20+'April 26'!BI20+'May 26'!BI20+'June 26'!BI20</f>
        <v>0</v>
      </c>
      <c r="BL20" s="7">
        <f>'July 25'!BJ20 + 'August 25'!BJ20 +'Sept 25'!BJ20 + 'Oct 25'!BJ20 + 'Nov 25'!BJ20+ 'Dec 25'!BJ20 +'Jan 26'!BJ20+'Feb 26'!BJ20+'March 26'!BJ20+'April 26'!BJ20+'May 26'!BJ20+'June 26'!BJ20</f>
        <v>0</v>
      </c>
      <c r="BM20" s="7">
        <f>'July 25'!BK20 + 'August 25'!BK20 +'Sept 25'!BK20 + 'Oct 25'!BK20 + 'Nov 25'!BK20+ 'Dec 25'!BK20 +'Jan 26'!BK20+'Feb 26'!BK20+'March 26'!BK20+'April 26'!BK20+'May 26'!BK20+'June 26'!BK20</f>
        <v>0</v>
      </c>
      <c r="BN20" s="7">
        <f>'July 25'!BL20 + 'August 25'!BL20 +'Sept 25'!BL20 + 'Oct 25'!BL20 + 'Nov 25'!BL20+ 'Dec 25'!BL20 +'Jan 26'!BL20+'Feb 26'!BL20+'March 26'!BL20+'April 26'!BL20+'May 26'!BL20+'June 26'!BL20</f>
        <v>0</v>
      </c>
      <c r="BO20" s="7">
        <f>'July 25'!BM20 + 'August 25'!BM20 +'Sept 25'!BM20 + 'Oct 25'!BM20 + 'Nov 25'!BM20+ 'Dec 25'!BM20 +'Jan 26'!BM20+'Feb 26'!BM20+'March 26'!BM20+'April 26'!BM20+'May 26'!BM20+'June 26'!BM20</f>
        <v>0</v>
      </c>
      <c r="BP20" s="7">
        <f>'July 25'!BN20 + 'August 25'!BN20 +'Sept 25'!BN20 + 'Oct 25'!BN20 + 'Nov 25'!BN20+ 'Dec 25'!BN20 +'Jan 26'!BN20+'Feb 26'!BN20+'March 26'!BN20+'April 26'!BN20+'May 26'!BN20+'June 26'!BN20</f>
        <v>0</v>
      </c>
      <c r="BQ20" s="7">
        <f>'July 25'!BO20 + 'August 25'!BO20 +'Sept 25'!BO20 + 'Oct 25'!BO20 + 'Nov 25'!BO20+ 'Dec 25'!BO20 +'Jan 26'!BO20+'Feb 26'!BO20+'March 26'!BO20+'April 26'!BO20+'May 26'!BO20+'June 26'!BO20</f>
        <v>0</v>
      </c>
      <c r="BR20" s="7">
        <f>'July 25'!BP20 + 'August 25'!BP20 +'Sept 25'!BP20 + 'Oct 25'!BP20 + 'Nov 25'!BP20+ 'Dec 25'!BP20 +'Jan 26'!BP20+'Feb 26'!BP20+'March 26'!BP20+'April 26'!BP20+'May 26'!BP20+'June 26'!BP20</f>
        <v>0</v>
      </c>
      <c r="BS20" s="7">
        <f>'July 25'!BQ20 + 'August 25'!BQ20 +'Sept 25'!BQ20 + 'Oct 25'!BQ20 + 'Nov 25'!BQ20+ 'Dec 25'!BQ20 +'Jan 26'!BQ20+'Feb 26'!BQ20+'March 26'!BQ20+'April 26'!BQ20+'May 26'!BQ20+'June 26'!BQ20</f>
        <v>0</v>
      </c>
      <c r="BT20" s="7">
        <f>'July 25'!BR20 + 'August 25'!BR20 +'Sept 25'!BR20 + 'Oct 25'!BR20 + 'Nov 25'!BR20+ 'Dec 25'!BR20 +'Jan 26'!BR20+'Feb 26'!BR20+'March 26'!BR20+'April 26'!BR20+'May 26'!BR20+'June 26'!BR20</f>
        <v>0</v>
      </c>
      <c r="BU20" s="7">
        <f>'July 25'!BS20 + 'August 25'!BS20 +'Sept 25'!BS20 + 'Oct 25'!BS20 + 'Nov 25'!BS20+ 'Dec 25'!BS20 +'Jan 26'!BS20+'Feb 26'!BS20+'March 26'!BS20+'April 26'!BS20+'May 26'!BS20+'June 26'!BS20</f>
        <v>0</v>
      </c>
      <c r="BV20" s="7">
        <f>'July 25'!BT20 + 'August 25'!BT20 +'Sept 25'!BT20 + 'Oct 25'!BT20 + 'Nov 25'!BT20+ 'Dec 25'!BT20 +'Jan 26'!BT20+'Feb 26'!BT20+'March 26'!BT20+'April 26'!BT20+'May 26'!BT20+'June 26'!BT20</f>
        <v>0</v>
      </c>
      <c r="BW20" s="7">
        <f>'July 25'!BU20 + 'August 25'!BU20 +'Sept 25'!BU20 + 'Oct 25'!BU20 + 'Nov 25'!BU20+ 'Dec 25'!BU20 +'Jan 26'!BU20+'Feb 26'!BU20+'March 26'!BU20+'April 26'!BU20+'May 26'!BU20+'June 26'!BU20</f>
        <v>0</v>
      </c>
      <c r="BX20" s="7">
        <f>'July 25'!BV20 + 'August 25'!BV20 +'Sept 25'!BV20 + 'Oct 25'!BV20 + 'Nov 25'!BV20+ 'Dec 25'!BV20 +'Jan 26'!BV20+'Feb 26'!BV20+'March 26'!BV20+'April 26'!BV20+'May 26'!BV20+'June 26'!BV20</f>
        <v>0</v>
      </c>
      <c r="BY20" s="7">
        <f>'July 25'!BW20 + 'August 25'!BW20 +'Sept 25'!BW20 + 'Oct 25'!BW20 + 'Nov 25'!BW20+ 'Dec 25'!BW20 +'Jan 26'!BW20+'Feb 26'!BW20+'March 26'!BW20+'April 26'!BW20+'May 26'!BW20+'June 26'!BW20</f>
        <v>110</v>
      </c>
      <c r="BZ20" s="7">
        <f>'July 25'!BX20 + 'August 25'!BX20 +'Sept 25'!BX20 + 'Oct 25'!BX20 + 'Nov 25'!BX20+ 'Dec 25'!BX20 +'Jan 26'!BX20+'Feb 26'!BX20+'March 26'!BX20+'April 26'!BX20+'May 26'!BX20+'June 26'!BX20</f>
        <v>0</v>
      </c>
      <c r="CA20" s="7">
        <f>'July 25'!BY20 + 'August 25'!BY20 +'Sept 25'!BY20 + 'Oct 25'!BY20 + 'Nov 25'!BY20+ 'Dec 25'!BY20 +'Jan 26'!BY20+'Feb 26'!BY20+'March 26'!BY20+'April 26'!BY20+'May 26'!BY20+'June 26'!BY20</f>
        <v>0</v>
      </c>
      <c r="CB20" s="7">
        <f>'July 25'!BZ20 + 'August 25'!BZ20 +'Sept 25'!BZ20 + 'Oct 25'!BZ20 + 'Nov 25'!BZ20+ 'Dec 25'!BZ20 +'Jan 26'!BZ20+'Feb 26'!BZ20+'March 26'!BZ20+'April 26'!BZ20+'May 26'!BZ20+'June 26'!BZ20</f>
        <v>0</v>
      </c>
      <c r="CC20" s="7">
        <f>'July 25'!CA20 + 'August 25'!CA20 +'Sept 25'!CA20 + 'Oct 25'!CA20 + 'Nov 25'!CA20+ 'Dec 25'!CA20 +'Jan 26'!CA20+'Feb 26'!CA20+'March 26'!CA20+'April 26'!CA20+'May 26'!CA20+'June 26'!CA20</f>
        <v>0</v>
      </c>
      <c r="CD20" s="7">
        <f>'July 25'!CB20 + 'August 25'!CB20 +'Sept 25'!CB20 + 'Oct 25'!CB20 + 'Nov 25'!CB20+ 'Dec 25'!CB20 +'Jan 26'!CB20+'Feb 26'!CB20+'March 26'!CB20+'April 26'!CB20+'May 26'!CB20+'June 26'!CB20</f>
        <v>0</v>
      </c>
      <c r="CE20" s="7">
        <f>'July 25'!CC20 + 'August 25'!CC20 +'Sept 25'!CC20 + 'Oct 25'!CC20 + 'Nov 25'!CC20+ 'Dec 25'!CC20 +'Jan 26'!CC20+'Feb 26'!CC20+'March 26'!CC20+'April 26'!CC20+'May 26'!CC20+'June 26'!CC20</f>
        <v>0</v>
      </c>
      <c r="CF20" s="8" cm="1">
        <f t="array" ref="CF20">SUMPRODUCT(--(UPPER($F$2:$CE$2)="NET NEW"),$F20:$CE20)</f>
        <v>990</v>
      </c>
      <c r="CG20" s="3">
        <f>SUMIF($F$2:$CE$2,"Enhance Existing",$F20:$CE20)</f>
        <v>50</v>
      </c>
      <c r="CH20" s="3">
        <f>SUMIF($F$2:$CE$2,"Maintenance",$F20:$CE20)</f>
        <v>400</v>
      </c>
    </row>
    <row r="21" spans="1:86" ht="15.95">
      <c r="A21" s="7" t="s">
        <v>0</v>
      </c>
      <c r="B21" s="7" t="s">
        <v>39</v>
      </c>
      <c r="C21" s="7" t="s">
        <v>61</v>
      </c>
      <c r="D21" s="12">
        <v>110</v>
      </c>
      <c r="E21" s="7"/>
      <c r="F21" s="7">
        <f>'July 25'!D21 + 'August 25'!D21 +'Sept 25'!D21 + 'Oct 25'!D21 + 'Nov 25'!D21+ 'Dec 25'!D21 +'Jan 26'!D21+'Feb 26'!D21+'March 26'!D21+'April 26'!D21+'May 26'!D21+'June 26'!D21</f>
        <v>0</v>
      </c>
      <c r="G21" s="7">
        <f>'July 25'!E21 + 'August 25'!E21 +'Sept 25'!E21 + 'Oct 25'!E21 + 'Nov 25'!E21+ 'Dec 25'!E21 +'Jan 26'!E21+'Feb 26'!E21+'March 26'!E21+'April 26'!E21+'May 26'!E21+'June 26'!E21</f>
        <v>0</v>
      </c>
      <c r="H21" s="7">
        <f>'July 25'!F21 + 'August 25'!F21 +'Sept 25'!F21 + 'Oct 25'!F21 + 'Nov 25'!F21+ 'Dec 25'!F21 +'Jan 26'!F21+'Feb 26'!F21+'March 26'!F21+'April 26'!F21+'May 26'!F21+'June 26'!F21</f>
        <v>0</v>
      </c>
      <c r="I21" s="7">
        <f>'July 25'!G21 + 'August 25'!G21 +'Sept 25'!G21 + 'Oct 25'!G21 + 'Nov 25'!G21+ 'Dec 25'!G21 +'Jan 26'!G21+'Feb 26'!G21+'March 26'!G21+'April 26'!G21+'May 26'!G21+'June 26'!G21</f>
        <v>0</v>
      </c>
      <c r="J21" s="7">
        <f>'July 25'!H21 + 'August 25'!H21 +'Sept 25'!H21 + 'Oct 25'!H21 + 'Nov 25'!H21+ 'Dec 25'!H21 +'Jan 26'!H21+'Feb 26'!H21+'March 26'!H21+'April 26'!H21+'May 26'!H21+'June 26'!H21</f>
        <v>0</v>
      </c>
      <c r="K21" s="7">
        <f>'July 25'!I21 + 'August 25'!I21 +'Sept 25'!I21 + 'Oct 25'!I21 + 'Nov 25'!I21+ 'Dec 25'!I21 +'Jan 26'!I21+'Feb 26'!I21+'March 26'!I21+'April 26'!I21+'May 26'!I21+'June 26'!I21</f>
        <v>0</v>
      </c>
      <c r="L21" s="7">
        <f>'July 25'!J21 + 'August 25'!J21 +'Sept 25'!J21 + 'Oct 25'!J21 + 'Nov 25'!J21+ 'Dec 25'!J21 +'Jan 26'!J21+'Feb 26'!J21+'March 26'!J21+'April 26'!J21+'May 26'!J21+'June 26'!J21</f>
        <v>0</v>
      </c>
      <c r="M21" s="7">
        <f>'July 25'!K21 + 'August 25'!K21 +'Sept 25'!K21 + 'Oct 25'!K21 + 'Nov 25'!K21+ 'Dec 25'!K21 +'Jan 26'!K21+'Feb 26'!K21+'March 26'!K21+'April 26'!K21+'May 26'!K21+'June 26'!K21</f>
        <v>0</v>
      </c>
      <c r="N21" s="7">
        <f>'July 25'!L21 + 'August 25'!L21 +'Sept 25'!L21 + 'Oct 25'!L21 + 'Nov 25'!L21+ 'Dec 25'!L21 +'Jan 26'!L21+'Feb 26'!L21+'March 26'!L21+'April 26'!L21+'May 26'!L21+'June 26'!L21</f>
        <v>0</v>
      </c>
      <c r="O21" s="7">
        <f>'July 25'!M21 + 'August 25'!M21 +'Sept 25'!M21 + 'Oct 25'!M21 + 'Nov 25'!M21+ 'Dec 25'!M21 +'Jan 26'!M21+'Feb 26'!M21+'March 26'!M21+'April 26'!M21+'May 26'!M21+'June 26'!M21</f>
        <v>0</v>
      </c>
      <c r="P21" s="7">
        <f>'July 25'!N21 + 'August 25'!N21 +'Sept 25'!N21 + 'Oct 25'!N21 + 'Nov 25'!N21+ 'Dec 25'!N21 +'Jan 26'!N21+'Feb 26'!N21+'March 26'!N21+'April 26'!N21+'May 26'!N21+'June 26'!N21</f>
        <v>0</v>
      </c>
      <c r="Q21" s="7">
        <f>'July 25'!O21 + 'August 25'!O21 +'Sept 25'!O21 + 'Oct 25'!O21 + 'Nov 25'!O21+ 'Dec 25'!O21 +'Jan 26'!O21+'Feb 26'!O21+'March 26'!O21+'April 26'!O21+'May 26'!O21+'June 26'!O21</f>
        <v>0</v>
      </c>
      <c r="R21" s="7">
        <f>'July 25'!P21 + 'August 25'!P21 +'Sept 25'!P21 + 'Oct 25'!P21 + 'Nov 25'!P21+ 'Dec 25'!P21 +'Jan 26'!P21+'Feb 26'!P21+'March 26'!P21+'April 26'!P21+'May 26'!P21+'June 26'!P21</f>
        <v>0</v>
      </c>
      <c r="S21" s="7">
        <f>'July 25'!Q21 + 'August 25'!Q21 +'Sept 25'!Q21 + 'Oct 25'!Q21 + 'Nov 25'!Q21+ 'Dec 25'!Q21 +'Jan 26'!Q21+'Feb 26'!Q21+'March 26'!Q21+'April 26'!Q21+'May 26'!Q21+'June 26'!Q21</f>
        <v>0</v>
      </c>
      <c r="T21" s="7">
        <f>'July 25'!R21 + 'August 25'!R21 +'Sept 25'!R21 + 'Oct 25'!R21 + 'Nov 25'!R21+ 'Dec 25'!R21 +'Jan 26'!R21+'Feb 26'!R21+'March 26'!R21+'April 26'!R21+'May 26'!R21+'June 26'!R21</f>
        <v>0</v>
      </c>
      <c r="U21" s="7">
        <f>'July 25'!S21 + 'August 25'!S21 +'Sept 25'!S21 + 'Oct 25'!S21 + 'Nov 25'!S21+ 'Dec 25'!S21 +'Jan 26'!S21+'Feb 26'!S21+'March 26'!S21+'April 26'!S21+'May 26'!S21+'June 26'!S21</f>
        <v>0</v>
      </c>
      <c r="V21" s="7">
        <f>'July 25'!T21 + 'August 25'!T21 +'Sept 25'!T21 + 'Oct 25'!T21 + 'Nov 25'!T21+ 'Dec 25'!T21 +'Jan 26'!T21+'Feb 26'!T21+'March 26'!T21+'April 26'!T21+'May 26'!T21+'June 26'!T21</f>
        <v>10</v>
      </c>
      <c r="W21" s="7">
        <f>'July 25'!U21 + 'August 25'!U21 +'Sept 25'!U21 + 'Oct 25'!U21 + 'Nov 25'!U21+ 'Dec 25'!U21 +'Jan 26'!U21+'Feb 26'!U21+'March 26'!U21+'April 26'!U21+'May 26'!U21+'June 26'!U21</f>
        <v>0</v>
      </c>
      <c r="X21" s="7">
        <f>'July 25'!V21 + 'August 25'!V21 +'Sept 25'!V21 + 'Oct 25'!V21 + 'Nov 25'!V21+ 'Dec 25'!V21 +'Jan 26'!V21+'Feb 26'!V21+'March 26'!V21+'April 26'!V21+'May 26'!V21+'June 26'!V21</f>
        <v>0</v>
      </c>
      <c r="Y21" s="7">
        <f>'July 25'!W21 + 'August 25'!W21 +'Sept 25'!W21 + 'Oct 25'!W21 + 'Nov 25'!W21+ 'Dec 25'!W21 +'Jan 26'!W21+'Feb 26'!W21+'March 26'!W21+'April 26'!W21+'May 26'!W21+'June 26'!W21</f>
        <v>0</v>
      </c>
      <c r="Z21" s="7">
        <f>'July 25'!X21 + 'August 25'!X21 +'Sept 25'!X21 + 'Oct 25'!X21 + 'Nov 25'!X21+ 'Dec 25'!X21 +'Jan 26'!X21+'Feb 26'!X21+'March 26'!X21+'April 26'!X21+'May 26'!X21+'June 26'!X21</f>
        <v>0</v>
      </c>
      <c r="AA21" s="7">
        <f>'July 25'!Y21 + 'August 25'!Y21 +'Sept 25'!Y21 + 'Oct 25'!Y21 + 'Nov 25'!Y21+ 'Dec 25'!Y21 +'Jan 26'!Y21+'Feb 26'!Y21+'March 26'!Y21+'April 26'!Y21+'May 26'!Y21+'June 26'!Y21</f>
        <v>0</v>
      </c>
      <c r="AB21" s="7">
        <f>'July 25'!Z21 + 'August 25'!Z21 +'Sept 25'!Z21 + 'Oct 25'!Z21 + 'Nov 25'!Z21+ 'Dec 25'!Z21 +'Jan 26'!Z21+'Feb 26'!Z21+'March 26'!Z21+'April 26'!Z21+'May 26'!Z21+'June 26'!Z21</f>
        <v>0</v>
      </c>
      <c r="AC21" s="7">
        <f>'July 25'!AA21 + 'August 25'!AA21 +'Sept 25'!AA21 + 'Oct 25'!AA21 + 'Nov 25'!AA21+ 'Dec 25'!AA21 +'Jan 26'!AA21+'Feb 26'!AA21+'March 26'!AA21+'April 26'!AA21+'May 26'!AA21+'June 26'!AA21</f>
        <v>0</v>
      </c>
      <c r="AD21" s="7">
        <f>'July 25'!AB21 + 'August 25'!AB21 +'Sept 25'!AB21 + 'Oct 25'!AB21 + 'Nov 25'!AB21+ 'Dec 25'!AB21 +'Jan 26'!AB21+'Feb 26'!AB21+'March 26'!AB21+'April 26'!AB21+'May 26'!AB21+'June 26'!AB21</f>
        <v>0</v>
      </c>
      <c r="AE21" s="7">
        <f>'July 25'!AC21 + 'August 25'!AC21 +'Sept 25'!AC21 + 'Oct 25'!AC21 + 'Nov 25'!AC21+ 'Dec 25'!AC21 +'Jan 26'!AC21+'Feb 26'!AC21+'March 26'!AC21+'April 26'!AC21+'May 26'!AC21+'June 26'!AC21</f>
        <v>0</v>
      </c>
      <c r="AF21" s="7">
        <f>'July 25'!AD21 + 'August 25'!AD21 +'Sept 25'!AD21 + 'Oct 25'!AD21 + 'Nov 25'!AD21+ 'Dec 25'!AD21 +'Jan 26'!AD21+'Feb 26'!AD21+'March 26'!AD21+'April 26'!AD21+'May 26'!AD21+'June 26'!AD21</f>
        <v>0</v>
      </c>
      <c r="AG21" s="7">
        <f>'July 25'!AE21 + 'August 25'!AE21 +'Sept 25'!AE21 + 'Oct 25'!AE21 + 'Nov 25'!AE21+ 'Dec 25'!AE21 +'Jan 26'!AE21+'Feb 26'!AE21+'March 26'!AE21+'April 26'!AE21+'May 26'!AE21+'June 26'!AE21</f>
        <v>0</v>
      </c>
      <c r="AH21" s="7">
        <f>'July 25'!AF21 + 'August 25'!AF21 +'Sept 25'!AF21 + 'Oct 25'!AF21 + 'Nov 25'!AF21+ 'Dec 25'!AF21 +'Jan 26'!AF21+'Feb 26'!AF21+'March 26'!AF21+'April 26'!AF21+'May 26'!AF21+'June 26'!AF21</f>
        <v>0</v>
      </c>
      <c r="AI21" s="7">
        <f>'July 25'!AG21 + 'August 25'!AG21 +'Sept 25'!AG21 + 'Oct 25'!AG21 + 'Nov 25'!AG21+ 'Dec 25'!AG21 +'Jan 26'!AG21+'Feb 26'!AG21+'March 26'!AG21+'April 26'!AG21+'May 26'!AG21+'June 26'!AG21</f>
        <v>0</v>
      </c>
      <c r="AJ21" s="7">
        <f>'July 25'!AH21 + 'August 25'!AH21 +'Sept 25'!AH21 + 'Oct 25'!AH21 + 'Nov 25'!AH21+ 'Dec 25'!AH21 +'Jan 26'!AH21+'Feb 26'!AH21+'March 26'!AH21+'April 26'!AH21+'May 26'!AH21+'June 26'!AH21</f>
        <v>0</v>
      </c>
      <c r="AK21" s="7">
        <f>'July 25'!AI21 + 'August 25'!AI21 +'Sept 25'!AI21 + 'Oct 25'!AI21 + 'Nov 25'!AI21+ 'Dec 25'!AI21 +'Jan 26'!AI21+'Feb 26'!AI21+'March 26'!AI21+'April 26'!AI21+'May 26'!AI21+'June 26'!AI21</f>
        <v>0</v>
      </c>
      <c r="AL21" s="7">
        <f>'July 25'!AJ21 + 'August 25'!AJ21 +'Sept 25'!AJ21 + 'Oct 25'!AJ21 + 'Nov 25'!AJ21+ 'Dec 25'!AJ21 +'Jan 26'!AJ21+'Feb 26'!AJ21+'March 26'!AJ21+'April 26'!AJ21+'May 26'!AJ21+'June 26'!AJ21</f>
        <v>0</v>
      </c>
      <c r="AM21" s="7">
        <f>'July 25'!AK21 + 'August 25'!AK21 +'Sept 25'!AK21 + 'Oct 25'!AK21 + 'Nov 25'!AK21+ 'Dec 25'!AK21 +'Jan 26'!AK21+'Feb 26'!AK21+'March 26'!AK21+'April 26'!AK21+'May 26'!AK21+'June 26'!AK21</f>
        <v>0</v>
      </c>
      <c r="AN21" s="7">
        <f>'July 25'!AL21 + 'August 25'!AL21 +'Sept 25'!AL21 + 'Oct 25'!AL21 + 'Nov 25'!AL21+ 'Dec 25'!AL21 +'Jan 26'!AL21+'Feb 26'!AL21+'March 26'!AL21+'April 26'!AL21+'May 26'!AL21+'June 26'!AL21</f>
        <v>0</v>
      </c>
      <c r="AO21" s="7">
        <f>'July 25'!AM21 + 'August 25'!AM21 +'Sept 25'!AM21 + 'Oct 25'!AM21 + 'Nov 25'!AM21+ 'Dec 25'!AM21 +'Jan 26'!AM21+'Feb 26'!AM21+'March 26'!AM21+'April 26'!AM21+'May 26'!AM21+'June 26'!AM21</f>
        <v>0</v>
      </c>
      <c r="AP21" s="7">
        <f>'July 25'!AN21 + 'August 25'!AN21 +'Sept 25'!AN21 + 'Oct 25'!AN21 + 'Nov 25'!AN21+ 'Dec 25'!AN21 +'Jan 26'!AN21+'Feb 26'!AN21+'March 26'!AN21+'April 26'!AN21+'May 26'!AN21+'June 26'!AN21</f>
        <v>0</v>
      </c>
      <c r="AQ21" s="7">
        <f>'July 25'!AO21 + 'August 25'!AO21 +'Sept 25'!AO21 + 'Oct 25'!AO21 + 'Nov 25'!AO21+ 'Dec 25'!AO21 +'Jan 26'!AO21+'Feb 26'!AO21+'March 26'!AO21+'April 26'!AO21+'May 26'!AO21+'June 26'!AO21</f>
        <v>0</v>
      </c>
      <c r="AR21" s="7">
        <f>'July 25'!AP21 + 'August 25'!AP21 +'Sept 25'!AP21 + 'Oct 25'!AP21 + 'Nov 25'!AP21+ 'Dec 25'!AP21 +'Jan 26'!AP21+'Feb 26'!AP21+'March 26'!AP21+'April 26'!AP21+'May 26'!AP21+'June 26'!AP21</f>
        <v>10</v>
      </c>
      <c r="AS21" s="7">
        <f>'July 25'!AQ21 + 'August 25'!AQ21 +'Sept 25'!AQ21 + 'Oct 25'!AQ21 + 'Nov 25'!AQ21+ 'Dec 25'!AQ21 +'Jan 26'!AQ21+'Feb 26'!AQ21+'March 26'!AQ21+'April 26'!AQ21+'May 26'!AQ21+'June 26'!AQ21</f>
        <v>0</v>
      </c>
      <c r="AT21" s="7">
        <f>'July 25'!AR21 + 'August 25'!AR21 +'Sept 25'!AR21 + 'Oct 25'!AR21 + 'Nov 25'!AR21+ 'Dec 25'!AR21 +'Jan 26'!AR21+'Feb 26'!AR21+'March 26'!AR21+'April 26'!AR21+'May 26'!AR21+'June 26'!AR21</f>
        <v>0</v>
      </c>
      <c r="AU21" s="7">
        <f>'July 25'!AS21 + 'August 25'!AS21 +'Sept 25'!AS21 + 'Oct 25'!AS21 + 'Nov 25'!AS21+ 'Dec 25'!AS21 +'Jan 26'!AS21+'Feb 26'!AS21+'March 26'!AS21+'April 26'!AS21+'May 26'!AS21+'June 26'!AS21</f>
        <v>0</v>
      </c>
      <c r="AV21" s="7">
        <f>'July 25'!AT21 + 'August 25'!AT21 +'Sept 25'!AT21 + 'Oct 25'!AT21 + 'Nov 25'!AT21+ 'Dec 25'!AT21 +'Jan 26'!AT21+'Feb 26'!AT21+'March 26'!AT21+'April 26'!AT21+'May 26'!AT21+'June 26'!AT21</f>
        <v>0</v>
      </c>
      <c r="AW21" s="7">
        <f>'July 25'!AU21 + 'August 25'!AU21 +'Sept 25'!AU21 + 'Oct 25'!AU21 + 'Nov 25'!AU21+ 'Dec 25'!AU21 +'Jan 26'!AU21+'Feb 26'!AU21+'March 26'!AU21+'April 26'!AU21+'May 26'!AU21+'June 26'!AU21</f>
        <v>0</v>
      </c>
      <c r="AX21" s="7">
        <f>'July 25'!AV21 + 'August 25'!AV21 +'Sept 25'!AV21 + 'Oct 25'!AV21 + 'Nov 25'!AV21+ 'Dec 25'!AV21 +'Jan 26'!AV21+'Feb 26'!AV21+'March 26'!AV21+'April 26'!AV21+'May 26'!AV21+'June 26'!AV21</f>
        <v>0</v>
      </c>
      <c r="AY21" s="7">
        <f>'July 25'!AW21 + 'August 25'!AW21 +'Sept 25'!AW21 + 'Oct 25'!AW21 + 'Nov 25'!AW21+ 'Dec 25'!AW21 +'Jan 26'!AW21+'Feb 26'!AW21+'March 26'!AW21+'April 26'!AW21+'May 26'!AW21+'June 26'!AW21</f>
        <v>0</v>
      </c>
      <c r="AZ21" s="7">
        <f>'July 25'!AX21 + 'August 25'!AX21 +'Sept 25'!AX21 + 'Oct 25'!AX21 + 'Nov 25'!AX21+ 'Dec 25'!AX21 +'Jan 26'!AX21+'Feb 26'!AX21+'March 26'!AX21+'April 26'!AX21+'May 26'!AX21+'June 26'!AX21</f>
        <v>0</v>
      </c>
      <c r="BA21" s="7">
        <f>'July 25'!AY21 + 'August 25'!AY21 +'Sept 25'!AY21 + 'Oct 25'!AY21 + 'Nov 25'!AY21+ 'Dec 25'!AY21 +'Jan 26'!AY21+'Feb 26'!AY21+'March 26'!AY21+'April 26'!AY21+'May 26'!AY21+'June 26'!AY21</f>
        <v>0</v>
      </c>
      <c r="BB21" s="7">
        <f>'July 25'!AZ21 + 'August 25'!AZ21 +'Sept 25'!AZ21 + 'Oct 25'!AZ21 + 'Nov 25'!AZ21+ 'Dec 25'!AZ21 +'Jan 26'!AZ21+'Feb 26'!AZ21+'March 26'!AZ21+'April 26'!AZ21+'May 26'!AZ21+'June 26'!AZ21</f>
        <v>0</v>
      </c>
      <c r="BC21" s="7">
        <f>'July 25'!BA21 + 'August 25'!BA21 +'Sept 25'!BA21 + 'Oct 25'!BA21 + 'Nov 25'!BA21+ 'Dec 25'!BA21 +'Jan 26'!BA21+'Feb 26'!BA21+'March 26'!BA21+'April 26'!BA21+'May 26'!BA21+'June 26'!BA21</f>
        <v>0</v>
      </c>
      <c r="BD21" s="7">
        <f>'July 25'!BB21 + 'August 25'!BB21 +'Sept 25'!BB21 + 'Oct 25'!BB21 + 'Nov 25'!BB21+ 'Dec 25'!BB21 +'Jan 26'!BB21+'Feb 26'!BB21+'March 26'!BB21+'April 26'!BB21+'May 26'!BB21+'June 26'!BB21</f>
        <v>0</v>
      </c>
      <c r="BE21" s="7">
        <f>'July 25'!BC21 + 'August 25'!BC21 +'Sept 25'!BC21 + 'Oct 25'!BC21 + 'Nov 25'!BC21+ 'Dec 25'!BC21 +'Jan 26'!BC21+'Feb 26'!BC21+'March 26'!BC21+'April 26'!BC21+'May 26'!BC21+'June 26'!BC21</f>
        <v>0</v>
      </c>
      <c r="BF21" s="7">
        <f>'July 25'!BD21 + 'August 25'!BD21 +'Sept 25'!BD21 + 'Oct 25'!BD21 + 'Nov 25'!BD21+ 'Dec 25'!BD21 +'Jan 26'!BD21+'Feb 26'!BD21+'March 26'!BD21+'April 26'!BD21+'May 26'!BD21+'June 26'!BD21</f>
        <v>0</v>
      </c>
      <c r="BG21" s="7">
        <f>'July 25'!BE21 + 'August 25'!BE21 +'Sept 25'!BE21 + 'Oct 25'!BE21 + 'Nov 25'!BE21+ 'Dec 25'!BE21 +'Jan 26'!BE21+'Feb 26'!BE21+'March 26'!BE21+'April 26'!BE21+'May 26'!BE21+'June 26'!BE21</f>
        <v>0</v>
      </c>
      <c r="BH21" s="7">
        <f>'July 25'!BF21 + 'August 25'!BF21 +'Sept 25'!BF21 + 'Oct 25'!BF21 + 'Nov 25'!BF21+ 'Dec 25'!BF21 +'Jan 26'!BF21+'Feb 26'!BF21+'March 26'!BF21+'April 26'!BF21+'May 26'!BF21+'June 26'!BF21</f>
        <v>0</v>
      </c>
      <c r="BI21" s="7">
        <f>'July 25'!BG21 + 'August 25'!BG21 +'Sept 25'!BG21 + 'Oct 25'!BG21 + 'Nov 25'!BG21+ 'Dec 25'!BG21 +'Jan 26'!BG21+'Feb 26'!BG21+'March 26'!BG21+'April 26'!BG21+'May 26'!BG21+'June 26'!BG21</f>
        <v>240</v>
      </c>
      <c r="BJ21" s="7">
        <f>'July 25'!BH21 + 'August 25'!BH21 +'Sept 25'!BH21 + 'Oct 25'!BH21 + 'Nov 25'!BH21+ 'Dec 25'!BH21 +'Jan 26'!BH21+'Feb 26'!BH21+'March 26'!BH21+'April 26'!BH21+'May 26'!BH21+'June 26'!BH21</f>
        <v>0</v>
      </c>
      <c r="BK21" s="7">
        <f>'July 25'!BI21 + 'August 25'!BI21 +'Sept 25'!BI21 + 'Oct 25'!BI21 + 'Nov 25'!BI21+ 'Dec 25'!BI21 +'Jan 26'!BI21+'Feb 26'!BI21+'March 26'!BI21+'April 26'!BI21+'May 26'!BI21+'June 26'!BI21</f>
        <v>0</v>
      </c>
      <c r="BL21" s="7">
        <f>'July 25'!BJ21 + 'August 25'!BJ21 +'Sept 25'!BJ21 + 'Oct 25'!BJ21 + 'Nov 25'!BJ21+ 'Dec 25'!BJ21 +'Jan 26'!BJ21+'Feb 26'!BJ21+'March 26'!BJ21+'April 26'!BJ21+'May 26'!BJ21+'June 26'!BJ21</f>
        <v>0</v>
      </c>
      <c r="BM21" s="7">
        <f>'July 25'!BK21 + 'August 25'!BK21 +'Sept 25'!BK21 + 'Oct 25'!BK21 + 'Nov 25'!BK21+ 'Dec 25'!BK21 +'Jan 26'!BK21+'Feb 26'!BK21+'March 26'!BK21+'April 26'!BK21+'May 26'!BK21+'June 26'!BK21</f>
        <v>0</v>
      </c>
      <c r="BN21" s="7">
        <f>'July 25'!BL21 + 'August 25'!BL21 +'Sept 25'!BL21 + 'Oct 25'!BL21 + 'Nov 25'!BL21+ 'Dec 25'!BL21 +'Jan 26'!BL21+'Feb 26'!BL21+'March 26'!BL21+'April 26'!BL21+'May 26'!BL21+'June 26'!BL21</f>
        <v>0</v>
      </c>
      <c r="BO21" s="7">
        <f>'July 25'!BM21 + 'August 25'!BM21 +'Sept 25'!BM21 + 'Oct 25'!BM21 + 'Nov 25'!BM21+ 'Dec 25'!BM21 +'Jan 26'!BM21+'Feb 26'!BM21+'March 26'!BM21+'April 26'!BM21+'May 26'!BM21+'June 26'!BM21</f>
        <v>0</v>
      </c>
      <c r="BP21" s="7">
        <f>'July 25'!BN21 + 'August 25'!BN21 +'Sept 25'!BN21 + 'Oct 25'!BN21 + 'Nov 25'!BN21+ 'Dec 25'!BN21 +'Jan 26'!BN21+'Feb 26'!BN21+'March 26'!BN21+'April 26'!BN21+'May 26'!BN21+'June 26'!BN21</f>
        <v>0</v>
      </c>
      <c r="BQ21" s="7">
        <f>'July 25'!BO21 + 'August 25'!BO21 +'Sept 25'!BO21 + 'Oct 25'!BO21 + 'Nov 25'!BO21+ 'Dec 25'!BO21 +'Jan 26'!BO21+'Feb 26'!BO21+'March 26'!BO21+'April 26'!BO21+'May 26'!BO21+'June 26'!BO21</f>
        <v>0</v>
      </c>
      <c r="BR21" s="7">
        <f>'July 25'!BP21 + 'August 25'!BP21 +'Sept 25'!BP21 + 'Oct 25'!BP21 + 'Nov 25'!BP21+ 'Dec 25'!BP21 +'Jan 26'!BP21+'Feb 26'!BP21+'March 26'!BP21+'April 26'!BP21+'May 26'!BP21+'June 26'!BP21</f>
        <v>0</v>
      </c>
      <c r="BS21" s="7">
        <f>'July 25'!BQ21 + 'August 25'!BQ21 +'Sept 25'!BQ21 + 'Oct 25'!BQ21 + 'Nov 25'!BQ21+ 'Dec 25'!BQ21 +'Jan 26'!BQ21+'Feb 26'!BQ21+'March 26'!BQ21+'April 26'!BQ21+'May 26'!BQ21+'June 26'!BQ21</f>
        <v>0</v>
      </c>
      <c r="BT21" s="7">
        <f>'July 25'!BR21 + 'August 25'!BR21 +'Sept 25'!BR21 + 'Oct 25'!BR21 + 'Nov 25'!BR21+ 'Dec 25'!BR21 +'Jan 26'!BR21+'Feb 26'!BR21+'March 26'!BR21+'April 26'!BR21+'May 26'!BR21+'June 26'!BR21</f>
        <v>0</v>
      </c>
      <c r="BU21" s="7">
        <f>'July 25'!BS21 + 'August 25'!BS21 +'Sept 25'!BS21 + 'Oct 25'!BS21 + 'Nov 25'!BS21+ 'Dec 25'!BS21 +'Jan 26'!BS21+'Feb 26'!BS21+'March 26'!BS21+'April 26'!BS21+'May 26'!BS21+'June 26'!BS21</f>
        <v>0</v>
      </c>
      <c r="BV21" s="7">
        <f>'July 25'!BT21 + 'August 25'!BT21 +'Sept 25'!BT21 + 'Oct 25'!BT21 + 'Nov 25'!BT21+ 'Dec 25'!BT21 +'Jan 26'!BT21+'Feb 26'!BT21+'March 26'!BT21+'April 26'!BT21+'May 26'!BT21+'June 26'!BT21</f>
        <v>0</v>
      </c>
      <c r="BW21" s="7">
        <f>'July 25'!BU21 + 'August 25'!BU21 +'Sept 25'!BU21 + 'Oct 25'!BU21 + 'Nov 25'!BU21+ 'Dec 25'!BU21 +'Jan 26'!BU21+'Feb 26'!BU21+'March 26'!BU21+'April 26'!BU21+'May 26'!BU21+'June 26'!BU21</f>
        <v>0</v>
      </c>
      <c r="BX21" s="7">
        <f>'July 25'!BV21 + 'August 25'!BV21 +'Sept 25'!BV21 + 'Oct 25'!BV21 + 'Nov 25'!BV21+ 'Dec 25'!BV21 +'Jan 26'!BV21+'Feb 26'!BV21+'March 26'!BV21+'April 26'!BV21+'May 26'!BV21+'June 26'!BV21</f>
        <v>0</v>
      </c>
      <c r="BY21" s="7">
        <f>'July 25'!BW21 + 'August 25'!BW21 +'Sept 25'!BW21 + 'Oct 25'!BW21 + 'Nov 25'!BW21+ 'Dec 25'!BW21 +'Jan 26'!BW21+'Feb 26'!BW21+'March 26'!BW21+'April 26'!BW21+'May 26'!BW21+'June 26'!BW21</f>
        <v>1080</v>
      </c>
      <c r="BZ21" s="7">
        <f>'July 25'!BX21 + 'August 25'!BX21 +'Sept 25'!BX21 + 'Oct 25'!BX21 + 'Nov 25'!BX21+ 'Dec 25'!BX21 +'Jan 26'!BX21+'Feb 26'!BX21+'March 26'!BX21+'April 26'!BX21+'May 26'!BX21+'June 26'!BX21</f>
        <v>0</v>
      </c>
      <c r="CA21" s="7">
        <f>'July 25'!BY21 + 'August 25'!BY21 +'Sept 25'!BY21 + 'Oct 25'!BY21 + 'Nov 25'!BY21+ 'Dec 25'!BY21 +'Jan 26'!BY21+'Feb 26'!BY21+'March 26'!BY21+'April 26'!BY21+'May 26'!BY21+'June 26'!BY21</f>
        <v>0</v>
      </c>
      <c r="CB21" s="7">
        <f>'July 25'!BZ21 + 'August 25'!BZ21 +'Sept 25'!BZ21 + 'Oct 25'!BZ21 + 'Nov 25'!BZ21+ 'Dec 25'!BZ21 +'Jan 26'!BZ21+'Feb 26'!BZ21+'March 26'!BZ21+'April 26'!BZ21+'May 26'!BZ21+'June 26'!BZ21</f>
        <v>0</v>
      </c>
      <c r="CC21" s="7">
        <f>'July 25'!CA21 + 'August 25'!CA21 +'Sept 25'!CA21 + 'Oct 25'!CA21 + 'Nov 25'!CA21+ 'Dec 25'!CA21 +'Jan 26'!CA21+'Feb 26'!CA21+'March 26'!CA21+'April 26'!CA21+'May 26'!CA21+'June 26'!CA21</f>
        <v>0</v>
      </c>
      <c r="CD21" s="7">
        <f>'July 25'!CB21 + 'August 25'!CB21 +'Sept 25'!CB21 + 'Oct 25'!CB21 + 'Nov 25'!CB21+ 'Dec 25'!CB21 +'Jan 26'!CB21+'Feb 26'!CB21+'March 26'!CB21+'April 26'!CB21+'May 26'!CB21+'June 26'!CB21</f>
        <v>0</v>
      </c>
      <c r="CE21" s="7">
        <f>'July 25'!CC21 + 'August 25'!CC21 +'Sept 25'!CC21 + 'Oct 25'!CC21 + 'Nov 25'!CC21+ 'Dec 25'!CC21 +'Jan 26'!CC21+'Feb 26'!CC21+'March 26'!CC21+'April 26'!CC21+'May 26'!CC21+'June 26'!CC21</f>
        <v>0</v>
      </c>
      <c r="CF21" s="8" cm="1">
        <f t="array" ref="CF21">SUMPRODUCT(--(UPPER($F$2:$CE$2)="NET NEW"),$F21:$CE21)</f>
        <v>0</v>
      </c>
      <c r="CG21" s="3">
        <f>SUMIF($F$2:$CE$2,"Enhance Existing",$F21:$CE21)</f>
        <v>250</v>
      </c>
      <c r="CH21" s="3">
        <f>SUMIF($F$2:$CE$2,"Maintenance",$F21:$CE21)</f>
        <v>1090</v>
      </c>
    </row>
    <row r="22" spans="1:86" ht="15.95">
      <c r="A22" s="7" t="s">
        <v>0</v>
      </c>
      <c r="B22" s="7" t="s">
        <v>39</v>
      </c>
      <c r="C22" s="7" t="s">
        <v>62</v>
      </c>
      <c r="D22" s="12">
        <v>110</v>
      </c>
      <c r="E22" s="7"/>
      <c r="F22" s="7">
        <f>'July 25'!D22 + 'August 25'!D22 +'Sept 25'!D22 + 'Oct 25'!D22 + 'Nov 25'!D22+ 'Dec 25'!D22 +'Jan 26'!D22+'Feb 26'!D22+'March 26'!D22+'April 26'!D22+'May 26'!D22+'June 26'!D22</f>
        <v>460</v>
      </c>
      <c r="G22" s="7">
        <f>'July 25'!E22 + 'August 25'!E22 +'Sept 25'!E22 + 'Oct 25'!E22 + 'Nov 25'!E22+ 'Dec 25'!E22 +'Jan 26'!E22+'Feb 26'!E22+'March 26'!E22+'April 26'!E22+'May 26'!E22+'June 26'!E22</f>
        <v>0</v>
      </c>
      <c r="H22" s="7">
        <f>'July 25'!F22 + 'August 25'!F22 +'Sept 25'!F22 + 'Oct 25'!F22 + 'Nov 25'!F22+ 'Dec 25'!F22 +'Jan 26'!F22+'Feb 26'!F22+'March 26'!F22+'April 26'!F22+'May 26'!F22+'June 26'!F22</f>
        <v>0</v>
      </c>
      <c r="I22" s="7">
        <f>'July 25'!G22 + 'August 25'!G22 +'Sept 25'!G22 + 'Oct 25'!G22 + 'Nov 25'!G22+ 'Dec 25'!G22 +'Jan 26'!G22+'Feb 26'!G22+'March 26'!G22+'April 26'!G22+'May 26'!G22+'June 26'!G22</f>
        <v>0</v>
      </c>
      <c r="J22" s="7">
        <f>'July 25'!H22 + 'August 25'!H22 +'Sept 25'!H22 + 'Oct 25'!H22 + 'Nov 25'!H22+ 'Dec 25'!H22 +'Jan 26'!H22+'Feb 26'!H22+'March 26'!H22+'April 26'!H22+'May 26'!H22+'June 26'!H22</f>
        <v>0</v>
      </c>
      <c r="K22" s="7">
        <f>'July 25'!I22 + 'August 25'!I22 +'Sept 25'!I22 + 'Oct 25'!I22 + 'Nov 25'!I22+ 'Dec 25'!I22 +'Jan 26'!I22+'Feb 26'!I22+'March 26'!I22+'April 26'!I22+'May 26'!I22+'June 26'!I22</f>
        <v>0</v>
      </c>
      <c r="L22" s="7">
        <f>'July 25'!J22 + 'August 25'!J22 +'Sept 25'!J22 + 'Oct 25'!J22 + 'Nov 25'!J22+ 'Dec 25'!J22 +'Jan 26'!J22+'Feb 26'!J22+'March 26'!J22+'April 26'!J22+'May 26'!J22+'June 26'!J22</f>
        <v>0</v>
      </c>
      <c r="M22" s="7">
        <f>'July 25'!K22 + 'August 25'!K22 +'Sept 25'!K22 + 'Oct 25'!K22 + 'Nov 25'!K22+ 'Dec 25'!K22 +'Jan 26'!K22+'Feb 26'!K22+'March 26'!K22+'April 26'!K22+'May 26'!K22+'June 26'!K22</f>
        <v>0</v>
      </c>
      <c r="N22" s="7">
        <f>'July 25'!L22 + 'August 25'!L22 +'Sept 25'!L22 + 'Oct 25'!L22 + 'Nov 25'!L22+ 'Dec 25'!L22 +'Jan 26'!L22+'Feb 26'!L22+'March 26'!L22+'April 26'!L22+'May 26'!L22+'June 26'!L22</f>
        <v>0</v>
      </c>
      <c r="O22" s="7">
        <f>'July 25'!M22 + 'August 25'!M22 +'Sept 25'!M22 + 'Oct 25'!M22 + 'Nov 25'!M22+ 'Dec 25'!M22 +'Jan 26'!M22+'Feb 26'!M22+'March 26'!M22+'April 26'!M22+'May 26'!M22+'June 26'!M22</f>
        <v>0</v>
      </c>
      <c r="P22" s="7">
        <f>'July 25'!N22 + 'August 25'!N22 +'Sept 25'!N22 + 'Oct 25'!N22 + 'Nov 25'!N22+ 'Dec 25'!N22 +'Jan 26'!N22+'Feb 26'!N22+'March 26'!N22+'April 26'!N22+'May 26'!N22+'June 26'!N22</f>
        <v>0</v>
      </c>
      <c r="Q22" s="7">
        <f>'July 25'!O22 + 'August 25'!O22 +'Sept 25'!O22 + 'Oct 25'!O22 + 'Nov 25'!O22+ 'Dec 25'!O22 +'Jan 26'!O22+'Feb 26'!O22+'March 26'!O22+'April 26'!O22+'May 26'!O22+'June 26'!O22</f>
        <v>0</v>
      </c>
      <c r="R22" s="7">
        <f>'July 25'!P22 + 'August 25'!P22 +'Sept 25'!P22 + 'Oct 25'!P22 + 'Nov 25'!P22+ 'Dec 25'!P22 +'Jan 26'!P22+'Feb 26'!P22+'March 26'!P22+'April 26'!P22+'May 26'!P22+'June 26'!P22</f>
        <v>0</v>
      </c>
      <c r="S22" s="7">
        <f>'July 25'!Q22 + 'August 25'!Q22 +'Sept 25'!Q22 + 'Oct 25'!Q22 + 'Nov 25'!Q22+ 'Dec 25'!Q22 +'Jan 26'!Q22+'Feb 26'!Q22+'March 26'!Q22+'April 26'!Q22+'May 26'!Q22+'June 26'!Q22</f>
        <v>0</v>
      </c>
      <c r="T22" s="7">
        <f>'July 25'!R22 + 'August 25'!R22 +'Sept 25'!R22 + 'Oct 25'!R22 + 'Nov 25'!R22+ 'Dec 25'!R22 +'Jan 26'!R22+'Feb 26'!R22+'March 26'!R22+'April 26'!R22+'May 26'!R22+'June 26'!R22</f>
        <v>0</v>
      </c>
      <c r="U22" s="7">
        <f>'July 25'!S22 + 'August 25'!S22 +'Sept 25'!S22 + 'Oct 25'!S22 + 'Nov 25'!S22+ 'Dec 25'!S22 +'Jan 26'!S22+'Feb 26'!S22+'March 26'!S22+'April 26'!S22+'May 26'!S22+'June 26'!S22</f>
        <v>0</v>
      </c>
      <c r="V22" s="7">
        <f>'July 25'!T22 + 'August 25'!T22 +'Sept 25'!T22 + 'Oct 25'!T22 + 'Nov 25'!T22+ 'Dec 25'!T22 +'Jan 26'!T22+'Feb 26'!T22+'March 26'!T22+'April 26'!T22+'May 26'!T22+'June 26'!T22</f>
        <v>610</v>
      </c>
      <c r="W22" s="7">
        <f>'July 25'!U22 + 'August 25'!U22 +'Sept 25'!U22 + 'Oct 25'!U22 + 'Nov 25'!U22+ 'Dec 25'!U22 +'Jan 26'!U22+'Feb 26'!U22+'March 26'!U22+'April 26'!U22+'May 26'!U22+'June 26'!U22</f>
        <v>30</v>
      </c>
      <c r="X22" s="7">
        <f>'July 25'!V22 + 'August 25'!V22 +'Sept 25'!V22 + 'Oct 25'!V22 + 'Nov 25'!V22+ 'Dec 25'!V22 +'Jan 26'!V22+'Feb 26'!V22+'March 26'!V22+'April 26'!V22+'May 26'!V22+'June 26'!V22</f>
        <v>0</v>
      </c>
      <c r="Y22" s="7">
        <f>'July 25'!W22 + 'August 25'!W22 +'Sept 25'!W22 + 'Oct 25'!W22 + 'Nov 25'!W22+ 'Dec 25'!W22 +'Jan 26'!W22+'Feb 26'!W22+'March 26'!W22+'April 26'!W22+'May 26'!W22+'June 26'!W22</f>
        <v>0</v>
      </c>
      <c r="Z22" s="7">
        <f>'July 25'!X22 + 'August 25'!X22 +'Sept 25'!X22 + 'Oct 25'!X22 + 'Nov 25'!X22+ 'Dec 25'!X22 +'Jan 26'!X22+'Feb 26'!X22+'March 26'!X22+'April 26'!X22+'May 26'!X22+'June 26'!X22</f>
        <v>0</v>
      </c>
      <c r="AA22" s="7">
        <f>'July 25'!Y22 + 'August 25'!Y22 +'Sept 25'!Y22 + 'Oct 25'!Y22 + 'Nov 25'!Y22+ 'Dec 25'!Y22 +'Jan 26'!Y22+'Feb 26'!Y22+'March 26'!Y22+'April 26'!Y22+'May 26'!Y22+'June 26'!Y22</f>
        <v>0</v>
      </c>
      <c r="AB22" s="7">
        <f>'July 25'!Z22 + 'August 25'!Z22 +'Sept 25'!Z22 + 'Oct 25'!Z22 + 'Nov 25'!Z22+ 'Dec 25'!Z22 +'Jan 26'!Z22+'Feb 26'!Z22+'March 26'!Z22+'April 26'!Z22+'May 26'!Z22+'June 26'!Z22</f>
        <v>0</v>
      </c>
      <c r="AC22" s="7">
        <f>'July 25'!AA22 + 'August 25'!AA22 +'Sept 25'!AA22 + 'Oct 25'!AA22 + 'Nov 25'!AA22+ 'Dec 25'!AA22 +'Jan 26'!AA22+'Feb 26'!AA22+'March 26'!AA22+'April 26'!AA22+'May 26'!AA22+'June 26'!AA22</f>
        <v>0</v>
      </c>
      <c r="AD22" s="7">
        <f>'July 25'!AB22 + 'August 25'!AB22 +'Sept 25'!AB22 + 'Oct 25'!AB22 + 'Nov 25'!AB22+ 'Dec 25'!AB22 +'Jan 26'!AB22+'Feb 26'!AB22+'March 26'!AB22+'April 26'!AB22+'May 26'!AB22+'June 26'!AB22</f>
        <v>0</v>
      </c>
      <c r="AE22" s="7">
        <f>'July 25'!AC22 + 'August 25'!AC22 +'Sept 25'!AC22 + 'Oct 25'!AC22 + 'Nov 25'!AC22+ 'Dec 25'!AC22 +'Jan 26'!AC22+'Feb 26'!AC22+'March 26'!AC22+'April 26'!AC22+'May 26'!AC22+'June 26'!AC22</f>
        <v>0</v>
      </c>
      <c r="AF22" s="7">
        <f>'July 25'!AD22 + 'August 25'!AD22 +'Sept 25'!AD22 + 'Oct 25'!AD22 + 'Nov 25'!AD22+ 'Dec 25'!AD22 +'Jan 26'!AD22+'Feb 26'!AD22+'March 26'!AD22+'April 26'!AD22+'May 26'!AD22+'June 26'!AD22</f>
        <v>0</v>
      </c>
      <c r="AG22" s="7">
        <f>'July 25'!AE22 + 'August 25'!AE22 +'Sept 25'!AE22 + 'Oct 25'!AE22 + 'Nov 25'!AE22+ 'Dec 25'!AE22 +'Jan 26'!AE22+'Feb 26'!AE22+'March 26'!AE22+'April 26'!AE22+'May 26'!AE22+'June 26'!AE22</f>
        <v>0</v>
      </c>
      <c r="AH22" s="7">
        <f>'July 25'!AF22 + 'August 25'!AF22 +'Sept 25'!AF22 + 'Oct 25'!AF22 + 'Nov 25'!AF22+ 'Dec 25'!AF22 +'Jan 26'!AF22+'Feb 26'!AF22+'March 26'!AF22+'April 26'!AF22+'May 26'!AF22+'June 26'!AF22</f>
        <v>0</v>
      </c>
      <c r="AI22" s="7">
        <f>'July 25'!AG22 + 'August 25'!AG22 +'Sept 25'!AG22 + 'Oct 25'!AG22 + 'Nov 25'!AG22+ 'Dec 25'!AG22 +'Jan 26'!AG22+'Feb 26'!AG22+'March 26'!AG22+'April 26'!AG22+'May 26'!AG22+'June 26'!AG22</f>
        <v>0</v>
      </c>
      <c r="AJ22" s="7">
        <f>'July 25'!AH22 + 'August 25'!AH22 +'Sept 25'!AH22 + 'Oct 25'!AH22 + 'Nov 25'!AH22+ 'Dec 25'!AH22 +'Jan 26'!AH22+'Feb 26'!AH22+'March 26'!AH22+'April 26'!AH22+'May 26'!AH22+'June 26'!AH22</f>
        <v>0</v>
      </c>
      <c r="AK22" s="7">
        <f>'July 25'!AI22 + 'August 25'!AI22 +'Sept 25'!AI22 + 'Oct 25'!AI22 + 'Nov 25'!AI22+ 'Dec 25'!AI22 +'Jan 26'!AI22+'Feb 26'!AI22+'March 26'!AI22+'April 26'!AI22+'May 26'!AI22+'June 26'!AI22</f>
        <v>0</v>
      </c>
      <c r="AL22" s="7">
        <f>'July 25'!AJ22 + 'August 25'!AJ22 +'Sept 25'!AJ22 + 'Oct 25'!AJ22 + 'Nov 25'!AJ22+ 'Dec 25'!AJ22 +'Jan 26'!AJ22+'Feb 26'!AJ22+'March 26'!AJ22+'April 26'!AJ22+'May 26'!AJ22+'June 26'!AJ22</f>
        <v>0</v>
      </c>
      <c r="AM22" s="7">
        <f>'July 25'!AK22 + 'August 25'!AK22 +'Sept 25'!AK22 + 'Oct 25'!AK22 + 'Nov 25'!AK22+ 'Dec 25'!AK22 +'Jan 26'!AK22+'Feb 26'!AK22+'March 26'!AK22+'April 26'!AK22+'May 26'!AK22+'June 26'!AK22</f>
        <v>0</v>
      </c>
      <c r="AN22" s="7">
        <f>'July 25'!AL22 + 'August 25'!AL22 +'Sept 25'!AL22 + 'Oct 25'!AL22 + 'Nov 25'!AL22+ 'Dec 25'!AL22 +'Jan 26'!AL22+'Feb 26'!AL22+'March 26'!AL22+'April 26'!AL22+'May 26'!AL22+'June 26'!AL22</f>
        <v>0</v>
      </c>
      <c r="AO22" s="7">
        <f>'July 25'!AM22 + 'August 25'!AM22 +'Sept 25'!AM22 + 'Oct 25'!AM22 + 'Nov 25'!AM22+ 'Dec 25'!AM22 +'Jan 26'!AM22+'Feb 26'!AM22+'March 26'!AM22+'April 26'!AM22+'May 26'!AM22+'June 26'!AM22</f>
        <v>0</v>
      </c>
      <c r="AP22" s="7">
        <f>'July 25'!AN22 + 'August 25'!AN22 +'Sept 25'!AN22 + 'Oct 25'!AN22 + 'Nov 25'!AN22+ 'Dec 25'!AN22 +'Jan 26'!AN22+'Feb 26'!AN22+'March 26'!AN22+'April 26'!AN22+'May 26'!AN22+'June 26'!AN22</f>
        <v>0</v>
      </c>
      <c r="AQ22" s="7">
        <f>'July 25'!AO22 + 'August 25'!AO22 +'Sept 25'!AO22 + 'Oct 25'!AO22 + 'Nov 25'!AO22+ 'Dec 25'!AO22 +'Jan 26'!AO22+'Feb 26'!AO22+'March 26'!AO22+'April 26'!AO22+'May 26'!AO22+'June 26'!AO22</f>
        <v>0</v>
      </c>
      <c r="AR22" s="7">
        <f>'July 25'!AP22 + 'August 25'!AP22 +'Sept 25'!AP22 + 'Oct 25'!AP22 + 'Nov 25'!AP22+ 'Dec 25'!AP22 +'Jan 26'!AP22+'Feb 26'!AP22+'March 26'!AP22+'April 26'!AP22+'May 26'!AP22+'June 26'!AP22</f>
        <v>0</v>
      </c>
      <c r="AS22" s="7">
        <f>'July 25'!AQ22 + 'August 25'!AQ22 +'Sept 25'!AQ22 + 'Oct 25'!AQ22 + 'Nov 25'!AQ22+ 'Dec 25'!AQ22 +'Jan 26'!AQ22+'Feb 26'!AQ22+'March 26'!AQ22+'April 26'!AQ22+'May 26'!AQ22+'June 26'!AQ22</f>
        <v>0</v>
      </c>
      <c r="AT22" s="7">
        <f>'July 25'!AR22 + 'August 25'!AR22 +'Sept 25'!AR22 + 'Oct 25'!AR22 + 'Nov 25'!AR22+ 'Dec 25'!AR22 +'Jan 26'!AR22+'Feb 26'!AR22+'March 26'!AR22+'April 26'!AR22+'May 26'!AR22+'June 26'!AR22</f>
        <v>0</v>
      </c>
      <c r="AU22" s="7">
        <f>'July 25'!AS22 + 'August 25'!AS22 +'Sept 25'!AS22 + 'Oct 25'!AS22 + 'Nov 25'!AS22+ 'Dec 25'!AS22 +'Jan 26'!AS22+'Feb 26'!AS22+'March 26'!AS22+'April 26'!AS22+'May 26'!AS22+'June 26'!AS22</f>
        <v>0</v>
      </c>
      <c r="AV22" s="7">
        <f>'July 25'!AT22 + 'August 25'!AT22 +'Sept 25'!AT22 + 'Oct 25'!AT22 + 'Nov 25'!AT22+ 'Dec 25'!AT22 +'Jan 26'!AT22+'Feb 26'!AT22+'March 26'!AT22+'April 26'!AT22+'May 26'!AT22+'June 26'!AT22</f>
        <v>0</v>
      </c>
      <c r="AW22" s="7">
        <f>'July 25'!AU22 + 'August 25'!AU22 +'Sept 25'!AU22 + 'Oct 25'!AU22 + 'Nov 25'!AU22+ 'Dec 25'!AU22 +'Jan 26'!AU22+'Feb 26'!AU22+'March 26'!AU22+'April 26'!AU22+'May 26'!AU22+'June 26'!AU22</f>
        <v>0</v>
      </c>
      <c r="AX22" s="7">
        <f>'July 25'!AV22 + 'August 25'!AV22 +'Sept 25'!AV22 + 'Oct 25'!AV22 + 'Nov 25'!AV22+ 'Dec 25'!AV22 +'Jan 26'!AV22+'Feb 26'!AV22+'March 26'!AV22+'April 26'!AV22+'May 26'!AV22+'June 26'!AV22</f>
        <v>0</v>
      </c>
      <c r="AY22" s="7">
        <f>'July 25'!AW22 + 'August 25'!AW22 +'Sept 25'!AW22 + 'Oct 25'!AW22 + 'Nov 25'!AW22+ 'Dec 25'!AW22 +'Jan 26'!AW22+'Feb 26'!AW22+'March 26'!AW22+'April 26'!AW22+'May 26'!AW22+'June 26'!AW22</f>
        <v>0</v>
      </c>
      <c r="AZ22" s="7">
        <f>'July 25'!AX22 + 'August 25'!AX22 +'Sept 25'!AX22 + 'Oct 25'!AX22 + 'Nov 25'!AX22+ 'Dec 25'!AX22 +'Jan 26'!AX22+'Feb 26'!AX22+'March 26'!AX22+'April 26'!AX22+'May 26'!AX22+'June 26'!AX22</f>
        <v>0</v>
      </c>
      <c r="BA22" s="7">
        <f>'July 25'!AY22 + 'August 25'!AY22 +'Sept 25'!AY22 + 'Oct 25'!AY22 + 'Nov 25'!AY22+ 'Dec 25'!AY22 +'Jan 26'!AY22+'Feb 26'!AY22+'March 26'!AY22+'April 26'!AY22+'May 26'!AY22+'June 26'!AY22</f>
        <v>0</v>
      </c>
      <c r="BB22" s="7">
        <f>'July 25'!AZ22 + 'August 25'!AZ22 +'Sept 25'!AZ22 + 'Oct 25'!AZ22 + 'Nov 25'!AZ22+ 'Dec 25'!AZ22 +'Jan 26'!AZ22+'Feb 26'!AZ22+'March 26'!AZ22+'April 26'!AZ22+'May 26'!AZ22+'June 26'!AZ22</f>
        <v>0</v>
      </c>
      <c r="BC22" s="7">
        <f>'July 25'!BA22 + 'August 25'!BA22 +'Sept 25'!BA22 + 'Oct 25'!BA22 + 'Nov 25'!BA22+ 'Dec 25'!BA22 +'Jan 26'!BA22+'Feb 26'!BA22+'March 26'!BA22+'April 26'!BA22+'May 26'!BA22+'June 26'!BA22</f>
        <v>0</v>
      </c>
      <c r="BD22" s="7">
        <f>'July 25'!BB22 + 'August 25'!BB22 +'Sept 25'!BB22 + 'Oct 25'!BB22 + 'Nov 25'!BB22+ 'Dec 25'!BB22 +'Jan 26'!BB22+'Feb 26'!BB22+'March 26'!BB22+'April 26'!BB22+'May 26'!BB22+'June 26'!BB22</f>
        <v>0</v>
      </c>
      <c r="BE22" s="7">
        <f>'July 25'!BC22 + 'August 25'!BC22 +'Sept 25'!BC22 + 'Oct 25'!BC22 + 'Nov 25'!BC22+ 'Dec 25'!BC22 +'Jan 26'!BC22+'Feb 26'!BC22+'March 26'!BC22+'April 26'!BC22+'May 26'!BC22+'June 26'!BC22</f>
        <v>0</v>
      </c>
      <c r="BF22" s="7">
        <f>'July 25'!BD22 + 'August 25'!BD22 +'Sept 25'!BD22 + 'Oct 25'!BD22 + 'Nov 25'!BD22+ 'Dec 25'!BD22 +'Jan 26'!BD22+'Feb 26'!BD22+'March 26'!BD22+'April 26'!BD22+'May 26'!BD22+'June 26'!BD22</f>
        <v>0</v>
      </c>
      <c r="BG22" s="7">
        <f>'July 25'!BE22 + 'August 25'!BE22 +'Sept 25'!BE22 + 'Oct 25'!BE22 + 'Nov 25'!BE22+ 'Dec 25'!BE22 +'Jan 26'!BE22+'Feb 26'!BE22+'March 26'!BE22+'April 26'!BE22+'May 26'!BE22+'June 26'!BE22</f>
        <v>0</v>
      </c>
      <c r="BH22" s="7">
        <f>'July 25'!BF22 + 'August 25'!BF22 +'Sept 25'!BF22 + 'Oct 25'!BF22 + 'Nov 25'!BF22+ 'Dec 25'!BF22 +'Jan 26'!BF22+'Feb 26'!BF22+'March 26'!BF22+'April 26'!BF22+'May 26'!BF22+'June 26'!BF22</f>
        <v>0</v>
      </c>
      <c r="BI22" s="7">
        <f>'July 25'!BG22 + 'August 25'!BG22 +'Sept 25'!BG22 + 'Oct 25'!BG22 + 'Nov 25'!BG22+ 'Dec 25'!BG22 +'Jan 26'!BG22+'Feb 26'!BG22+'March 26'!BG22+'April 26'!BG22+'May 26'!BG22+'June 26'!BG22</f>
        <v>0</v>
      </c>
      <c r="BJ22" s="7">
        <f>'July 25'!BH22 + 'August 25'!BH22 +'Sept 25'!BH22 + 'Oct 25'!BH22 + 'Nov 25'!BH22+ 'Dec 25'!BH22 +'Jan 26'!BH22+'Feb 26'!BH22+'March 26'!BH22+'April 26'!BH22+'May 26'!BH22+'June 26'!BH22</f>
        <v>0</v>
      </c>
      <c r="BK22" s="7">
        <f>'July 25'!BI22 + 'August 25'!BI22 +'Sept 25'!BI22 + 'Oct 25'!BI22 + 'Nov 25'!BI22+ 'Dec 25'!BI22 +'Jan 26'!BI22+'Feb 26'!BI22+'March 26'!BI22+'April 26'!BI22+'May 26'!BI22+'June 26'!BI22</f>
        <v>0</v>
      </c>
      <c r="BL22" s="7">
        <f>'July 25'!BJ22 + 'August 25'!BJ22 +'Sept 25'!BJ22 + 'Oct 25'!BJ22 + 'Nov 25'!BJ22+ 'Dec 25'!BJ22 +'Jan 26'!BJ22+'Feb 26'!BJ22+'March 26'!BJ22+'April 26'!BJ22+'May 26'!BJ22+'June 26'!BJ22</f>
        <v>0</v>
      </c>
      <c r="BM22" s="7">
        <f>'July 25'!BK22 + 'August 25'!BK22 +'Sept 25'!BK22 + 'Oct 25'!BK22 + 'Nov 25'!BK22+ 'Dec 25'!BK22 +'Jan 26'!BK22+'Feb 26'!BK22+'March 26'!BK22+'April 26'!BK22+'May 26'!BK22+'June 26'!BK22</f>
        <v>0</v>
      </c>
      <c r="BN22" s="7">
        <f>'July 25'!BL22 + 'August 25'!BL22 +'Sept 25'!BL22 + 'Oct 25'!BL22 + 'Nov 25'!BL22+ 'Dec 25'!BL22 +'Jan 26'!BL22+'Feb 26'!BL22+'March 26'!BL22+'April 26'!BL22+'May 26'!BL22+'June 26'!BL22</f>
        <v>0</v>
      </c>
      <c r="BO22" s="7">
        <f>'July 25'!BM22 + 'August 25'!BM22 +'Sept 25'!BM22 + 'Oct 25'!BM22 + 'Nov 25'!BM22+ 'Dec 25'!BM22 +'Jan 26'!BM22+'Feb 26'!BM22+'March 26'!BM22+'April 26'!BM22+'May 26'!BM22+'June 26'!BM22</f>
        <v>0</v>
      </c>
      <c r="BP22" s="7">
        <f>'July 25'!BN22 + 'August 25'!BN22 +'Sept 25'!BN22 + 'Oct 25'!BN22 + 'Nov 25'!BN22+ 'Dec 25'!BN22 +'Jan 26'!BN22+'Feb 26'!BN22+'March 26'!BN22+'April 26'!BN22+'May 26'!BN22+'June 26'!BN22</f>
        <v>0</v>
      </c>
      <c r="BQ22" s="7">
        <f>'July 25'!BO22 + 'August 25'!BO22 +'Sept 25'!BO22 + 'Oct 25'!BO22 + 'Nov 25'!BO22+ 'Dec 25'!BO22 +'Jan 26'!BO22+'Feb 26'!BO22+'March 26'!BO22+'April 26'!BO22+'May 26'!BO22+'June 26'!BO22</f>
        <v>0</v>
      </c>
      <c r="BR22" s="7">
        <f>'July 25'!BP22 + 'August 25'!BP22 +'Sept 25'!BP22 + 'Oct 25'!BP22 + 'Nov 25'!BP22+ 'Dec 25'!BP22 +'Jan 26'!BP22+'Feb 26'!BP22+'March 26'!BP22+'April 26'!BP22+'May 26'!BP22+'June 26'!BP22</f>
        <v>0</v>
      </c>
      <c r="BS22" s="7">
        <f>'July 25'!BQ22 + 'August 25'!BQ22 +'Sept 25'!BQ22 + 'Oct 25'!BQ22 + 'Nov 25'!BQ22+ 'Dec 25'!BQ22 +'Jan 26'!BQ22+'Feb 26'!BQ22+'March 26'!BQ22+'April 26'!BQ22+'May 26'!BQ22+'June 26'!BQ22</f>
        <v>0</v>
      </c>
      <c r="BT22" s="7">
        <f>'July 25'!BR22 + 'August 25'!BR22 +'Sept 25'!BR22 + 'Oct 25'!BR22 + 'Nov 25'!BR22+ 'Dec 25'!BR22 +'Jan 26'!BR22+'Feb 26'!BR22+'March 26'!BR22+'April 26'!BR22+'May 26'!BR22+'June 26'!BR22</f>
        <v>0</v>
      </c>
      <c r="BU22" s="7">
        <f>'July 25'!BS22 + 'August 25'!BS22 +'Sept 25'!BS22 + 'Oct 25'!BS22 + 'Nov 25'!BS22+ 'Dec 25'!BS22 +'Jan 26'!BS22+'Feb 26'!BS22+'March 26'!BS22+'April 26'!BS22+'May 26'!BS22+'June 26'!BS22</f>
        <v>0</v>
      </c>
      <c r="BV22" s="7">
        <f>'July 25'!BT22 + 'August 25'!BT22 +'Sept 25'!BT22 + 'Oct 25'!BT22 + 'Nov 25'!BT22+ 'Dec 25'!BT22 +'Jan 26'!BT22+'Feb 26'!BT22+'March 26'!BT22+'April 26'!BT22+'May 26'!BT22+'June 26'!BT22</f>
        <v>0</v>
      </c>
      <c r="BW22" s="7">
        <f>'July 25'!BU22 + 'August 25'!BU22 +'Sept 25'!BU22 + 'Oct 25'!BU22 + 'Nov 25'!BU22+ 'Dec 25'!BU22 +'Jan 26'!BU22+'Feb 26'!BU22+'March 26'!BU22+'April 26'!BU22+'May 26'!BU22+'June 26'!BU22</f>
        <v>0</v>
      </c>
      <c r="BX22" s="7">
        <f>'July 25'!BV22 + 'August 25'!BV22 +'Sept 25'!BV22 + 'Oct 25'!BV22 + 'Nov 25'!BV22+ 'Dec 25'!BV22 +'Jan 26'!BV22+'Feb 26'!BV22+'March 26'!BV22+'April 26'!BV22+'May 26'!BV22+'June 26'!BV22</f>
        <v>0</v>
      </c>
      <c r="BY22" s="7">
        <f>'July 25'!BW22 + 'August 25'!BW22 +'Sept 25'!BW22 + 'Oct 25'!BW22 + 'Nov 25'!BW22+ 'Dec 25'!BW22 +'Jan 26'!BW22+'Feb 26'!BW22+'March 26'!BW22+'April 26'!BW22+'May 26'!BW22+'June 26'!BW22</f>
        <v>360</v>
      </c>
      <c r="BZ22" s="7">
        <f>'July 25'!BX22 + 'August 25'!BX22 +'Sept 25'!BX22 + 'Oct 25'!BX22 + 'Nov 25'!BX22+ 'Dec 25'!BX22 +'Jan 26'!BX22+'Feb 26'!BX22+'March 26'!BX22+'April 26'!BX22+'May 26'!BX22+'June 26'!BX22</f>
        <v>0</v>
      </c>
      <c r="CA22" s="7">
        <f>'July 25'!BY22 + 'August 25'!BY22 +'Sept 25'!BY22 + 'Oct 25'!BY22 + 'Nov 25'!BY22+ 'Dec 25'!BY22 +'Jan 26'!BY22+'Feb 26'!BY22+'March 26'!BY22+'April 26'!BY22+'May 26'!BY22+'June 26'!BY22</f>
        <v>0</v>
      </c>
      <c r="CB22" s="7">
        <f>'July 25'!BZ22 + 'August 25'!BZ22 +'Sept 25'!BZ22 + 'Oct 25'!BZ22 + 'Nov 25'!BZ22+ 'Dec 25'!BZ22 +'Jan 26'!BZ22+'Feb 26'!BZ22+'March 26'!BZ22+'April 26'!BZ22+'May 26'!BZ22+'June 26'!BZ22</f>
        <v>0</v>
      </c>
      <c r="CC22" s="7">
        <f>'July 25'!CA22 + 'August 25'!CA22 +'Sept 25'!CA22 + 'Oct 25'!CA22 + 'Nov 25'!CA22+ 'Dec 25'!CA22 +'Jan 26'!CA22+'Feb 26'!CA22+'March 26'!CA22+'April 26'!CA22+'May 26'!CA22+'June 26'!CA22</f>
        <v>0</v>
      </c>
      <c r="CD22" s="7">
        <f>'July 25'!CB22 + 'August 25'!CB22 +'Sept 25'!CB22 + 'Oct 25'!CB22 + 'Nov 25'!CB22+ 'Dec 25'!CB22 +'Jan 26'!CB22+'Feb 26'!CB22+'March 26'!CB22+'April 26'!CB22+'May 26'!CB22+'June 26'!CB22</f>
        <v>0</v>
      </c>
      <c r="CE22" s="7">
        <f>'July 25'!CC22 + 'August 25'!CC22 +'Sept 25'!CC22 + 'Oct 25'!CC22 + 'Nov 25'!CC22+ 'Dec 25'!CC22 +'Jan 26'!CC22+'Feb 26'!CC22+'March 26'!CC22+'April 26'!CC22+'May 26'!CC22+'June 26'!CC22</f>
        <v>0</v>
      </c>
      <c r="CF22" s="8" cm="1">
        <f t="array" ref="CF22">SUMPRODUCT(--(UPPER($F$2:$CE$2)="NET NEW"),$F22:$CE22)</f>
        <v>460</v>
      </c>
      <c r="CG22" s="3">
        <f>SUMIF($F$2:$CE$2,"Enhance Existing",$F22:$CE22)</f>
        <v>610</v>
      </c>
      <c r="CH22" s="3">
        <f>SUMIF($F$2:$CE$2,"Maintenance",$F22:$CE22)</f>
        <v>390</v>
      </c>
    </row>
    <row r="23" spans="1:86" ht="15.95">
      <c r="A23" s="7" t="s">
        <v>0</v>
      </c>
      <c r="B23" s="7" t="s">
        <v>39</v>
      </c>
      <c r="C23" s="7" t="s">
        <v>63</v>
      </c>
      <c r="D23" s="12">
        <v>70</v>
      </c>
      <c r="E23" s="7"/>
      <c r="F23" s="7">
        <f>'July 25'!D23 + 'August 25'!D23 +'Sept 25'!D23 + 'Oct 25'!D23 + 'Nov 25'!D23+ 'Dec 25'!D23 +'Jan 26'!D23+'Feb 26'!D23+'March 26'!D23+'April 26'!D23+'May 26'!D23+'June 26'!D23</f>
        <v>0</v>
      </c>
      <c r="G23" s="7">
        <f>'July 25'!E23 + 'August 25'!E23 +'Sept 25'!E23 + 'Oct 25'!E23 + 'Nov 25'!E23+ 'Dec 25'!E23 +'Jan 26'!E23+'Feb 26'!E23+'March 26'!E23+'April 26'!E23+'May 26'!E23+'June 26'!E23</f>
        <v>0</v>
      </c>
      <c r="H23" s="7">
        <f>'July 25'!F23 + 'August 25'!F23 +'Sept 25'!F23 + 'Oct 25'!F23 + 'Nov 25'!F23+ 'Dec 25'!F23 +'Jan 26'!F23+'Feb 26'!F23+'March 26'!F23+'April 26'!F23+'May 26'!F23+'June 26'!F23</f>
        <v>0</v>
      </c>
      <c r="I23" s="7">
        <f>'July 25'!G23 + 'August 25'!G23 +'Sept 25'!G23 + 'Oct 25'!G23 + 'Nov 25'!G23+ 'Dec 25'!G23 +'Jan 26'!G23+'Feb 26'!G23+'March 26'!G23+'April 26'!G23+'May 26'!G23+'June 26'!G23</f>
        <v>0</v>
      </c>
      <c r="J23" s="7">
        <f>'July 25'!H23 + 'August 25'!H23 +'Sept 25'!H23 + 'Oct 25'!H23 + 'Nov 25'!H23+ 'Dec 25'!H23 +'Jan 26'!H23+'Feb 26'!H23+'March 26'!H23+'April 26'!H23+'May 26'!H23+'June 26'!H23</f>
        <v>0</v>
      </c>
      <c r="K23" s="7">
        <f>'July 25'!I23 + 'August 25'!I23 +'Sept 25'!I23 + 'Oct 25'!I23 + 'Nov 25'!I23+ 'Dec 25'!I23 +'Jan 26'!I23+'Feb 26'!I23+'March 26'!I23+'April 26'!I23+'May 26'!I23+'June 26'!I23</f>
        <v>0</v>
      </c>
      <c r="L23" s="7">
        <f>'July 25'!J23 + 'August 25'!J23 +'Sept 25'!J23 + 'Oct 25'!J23 + 'Nov 25'!J23+ 'Dec 25'!J23 +'Jan 26'!J23+'Feb 26'!J23+'March 26'!J23+'April 26'!J23+'May 26'!J23+'June 26'!J23</f>
        <v>0</v>
      </c>
      <c r="M23" s="7">
        <f>'July 25'!K23 + 'August 25'!K23 +'Sept 25'!K23 + 'Oct 25'!K23 + 'Nov 25'!K23+ 'Dec 25'!K23 +'Jan 26'!K23+'Feb 26'!K23+'March 26'!K23+'April 26'!K23+'May 26'!K23+'June 26'!K23</f>
        <v>0</v>
      </c>
      <c r="N23" s="7">
        <f>'July 25'!L23 + 'August 25'!L23 +'Sept 25'!L23 + 'Oct 25'!L23 + 'Nov 25'!L23+ 'Dec 25'!L23 +'Jan 26'!L23+'Feb 26'!L23+'March 26'!L23+'April 26'!L23+'May 26'!L23+'June 26'!L23</f>
        <v>315</v>
      </c>
      <c r="O23" s="7">
        <f>'July 25'!M23 + 'August 25'!M23 +'Sept 25'!M23 + 'Oct 25'!M23 + 'Nov 25'!M23+ 'Dec 25'!M23 +'Jan 26'!M23+'Feb 26'!M23+'March 26'!M23+'April 26'!M23+'May 26'!M23+'June 26'!M23</f>
        <v>0</v>
      </c>
      <c r="P23" s="7">
        <f>'July 25'!N23 + 'August 25'!N23 +'Sept 25'!N23 + 'Oct 25'!N23 + 'Nov 25'!N23+ 'Dec 25'!N23 +'Jan 26'!N23+'Feb 26'!N23+'March 26'!N23+'April 26'!N23+'May 26'!N23+'June 26'!N23</f>
        <v>0</v>
      </c>
      <c r="Q23" s="7">
        <f>'July 25'!O23 + 'August 25'!O23 +'Sept 25'!O23 + 'Oct 25'!O23 + 'Nov 25'!O23+ 'Dec 25'!O23 +'Jan 26'!O23+'Feb 26'!O23+'March 26'!O23+'April 26'!O23+'May 26'!O23+'June 26'!O23</f>
        <v>0</v>
      </c>
      <c r="R23" s="7">
        <f>'July 25'!P23 + 'August 25'!P23 +'Sept 25'!P23 + 'Oct 25'!P23 + 'Nov 25'!P23+ 'Dec 25'!P23 +'Jan 26'!P23+'Feb 26'!P23+'March 26'!P23+'April 26'!P23+'May 26'!P23+'June 26'!P23</f>
        <v>0</v>
      </c>
      <c r="S23" s="7">
        <f>'July 25'!Q23 + 'August 25'!Q23 +'Sept 25'!Q23 + 'Oct 25'!Q23 + 'Nov 25'!Q23+ 'Dec 25'!Q23 +'Jan 26'!Q23+'Feb 26'!Q23+'March 26'!Q23+'April 26'!Q23+'May 26'!Q23+'June 26'!Q23</f>
        <v>0</v>
      </c>
      <c r="T23" s="7">
        <f>'July 25'!R23 + 'August 25'!R23 +'Sept 25'!R23 + 'Oct 25'!R23 + 'Nov 25'!R23+ 'Dec 25'!R23 +'Jan 26'!R23+'Feb 26'!R23+'March 26'!R23+'April 26'!R23+'May 26'!R23+'June 26'!R23</f>
        <v>5</v>
      </c>
      <c r="U23" s="7">
        <f>'July 25'!S23 + 'August 25'!S23 +'Sept 25'!S23 + 'Oct 25'!S23 + 'Nov 25'!S23+ 'Dec 25'!S23 +'Jan 26'!S23+'Feb 26'!S23+'March 26'!S23+'April 26'!S23+'May 26'!S23+'June 26'!S23</f>
        <v>0</v>
      </c>
      <c r="V23" s="7">
        <f>'July 25'!T23 + 'August 25'!T23 +'Sept 25'!T23 + 'Oct 25'!T23 + 'Nov 25'!T23+ 'Dec 25'!T23 +'Jan 26'!T23+'Feb 26'!T23+'March 26'!T23+'April 26'!T23+'May 26'!T23+'June 26'!T23</f>
        <v>0</v>
      </c>
      <c r="W23" s="7">
        <f>'July 25'!U23 + 'August 25'!U23 +'Sept 25'!U23 + 'Oct 25'!U23 + 'Nov 25'!U23+ 'Dec 25'!U23 +'Jan 26'!U23+'Feb 26'!U23+'March 26'!U23+'April 26'!U23+'May 26'!U23+'June 26'!U23</f>
        <v>0</v>
      </c>
      <c r="X23" s="7">
        <f>'July 25'!V23 + 'August 25'!V23 +'Sept 25'!V23 + 'Oct 25'!V23 + 'Nov 25'!V23+ 'Dec 25'!V23 +'Jan 26'!V23+'Feb 26'!V23+'March 26'!V23+'April 26'!V23+'May 26'!V23+'June 26'!V23</f>
        <v>0</v>
      </c>
      <c r="Y23" s="7">
        <f>'July 25'!W23 + 'August 25'!W23 +'Sept 25'!W23 + 'Oct 25'!W23 + 'Nov 25'!W23+ 'Dec 25'!W23 +'Jan 26'!W23+'Feb 26'!W23+'March 26'!W23+'April 26'!W23+'May 26'!W23+'June 26'!W23</f>
        <v>0</v>
      </c>
      <c r="Z23" s="7">
        <f>'July 25'!X23 + 'August 25'!X23 +'Sept 25'!X23 + 'Oct 25'!X23 + 'Nov 25'!X23+ 'Dec 25'!X23 +'Jan 26'!X23+'Feb 26'!X23+'March 26'!X23+'April 26'!X23+'May 26'!X23+'June 26'!X23</f>
        <v>0</v>
      </c>
      <c r="AA23" s="7">
        <f>'July 25'!Y23 + 'August 25'!Y23 +'Sept 25'!Y23 + 'Oct 25'!Y23 + 'Nov 25'!Y23+ 'Dec 25'!Y23 +'Jan 26'!Y23+'Feb 26'!Y23+'March 26'!Y23+'April 26'!Y23+'May 26'!Y23+'June 26'!Y23</f>
        <v>0</v>
      </c>
      <c r="AB23" s="7">
        <f>'July 25'!Z23 + 'August 25'!Z23 +'Sept 25'!Z23 + 'Oct 25'!Z23 + 'Nov 25'!Z23+ 'Dec 25'!Z23 +'Jan 26'!Z23+'Feb 26'!Z23+'March 26'!Z23+'April 26'!Z23+'May 26'!Z23+'June 26'!Z23</f>
        <v>0</v>
      </c>
      <c r="AC23" s="7">
        <f>'July 25'!AA23 + 'August 25'!AA23 +'Sept 25'!AA23 + 'Oct 25'!AA23 + 'Nov 25'!AA23+ 'Dec 25'!AA23 +'Jan 26'!AA23+'Feb 26'!AA23+'March 26'!AA23+'April 26'!AA23+'May 26'!AA23+'June 26'!AA23</f>
        <v>0</v>
      </c>
      <c r="AD23" s="7">
        <f>'July 25'!AB23 + 'August 25'!AB23 +'Sept 25'!AB23 + 'Oct 25'!AB23 + 'Nov 25'!AB23+ 'Dec 25'!AB23 +'Jan 26'!AB23+'Feb 26'!AB23+'March 26'!AB23+'April 26'!AB23+'May 26'!AB23+'June 26'!AB23</f>
        <v>0</v>
      </c>
      <c r="AE23" s="7">
        <f>'July 25'!AC23 + 'August 25'!AC23 +'Sept 25'!AC23 + 'Oct 25'!AC23 + 'Nov 25'!AC23+ 'Dec 25'!AC23 +'Jan 26'!AC23+'Feb 26'!AC23+'March 26'!AC23+'April 26'!AC23+'May 26'!AC23+'June 26'!AC23</f>
        <v>0</v>
      </c>
      <c r="AF23" s="7">
        <f>'July 25'!AD23 + 'August 25'!AD23 +'Sept 25'!AD23 + 'Oct 25'!AD23 + 'Nov 25'!AD23+ 'Dec 25'!AD23 +'Jan 26'!AD23+'Feb 26'!AD23+'March 26'!AD23+'April 26'!AD23+'May 26'!AD23+'June 26'!AD23</f>
        <v>0</v>
      </c>
      <c r="AG23" s="7">
        <f>'July 25'!AE23 + 'August 25'!AE23 +'Sept 25'!AE23 + 'Oct 25'!AE23 + 'Nov 25'!AE23+ 'Dec 25'!AE23 +'Jan 26'!AE23+'Feb 26'!AE23+'March 26'!AE23+'April 26'!AE23+'May 26'!AE23+'June 26'!AE23</f>
        <v>0</v>
      </c>
      <c r="AH23" s="7">
        <f>'July 25'!AF23 + 'August 25'!AF23 +'Sept 25'!AF23 + 'Oct 25'!AF23 + 'Nov 25'!AF23+ 'Dec 25'!AF23 +'Jan 26'!AF23+'Feb 26'!AF23+'March 26'!AF23+'April 26'!AF23+'May 26'!AF23+'June 26'!AF23</f>
        <v>0</v>
      </c>
      <c r="AI23" s="7">
        <f>'July 25'!AG23 + 'August 25'!AG23 +'Sept 25'!AG23 + 'Oct 25'!AG23 + 'Nov 25'!AG23+ 'Dec 25'!AG23 +'Jan 26'!AG23+'Feb 26'!AG23+'March 26'!AG23+'April 26'!AG23+'May 26'!AG23+'June 26'!AG23</f>
        <v>285</v>
      </c>
      <c r="AJ23" s="7">
        <f>'July 25'!AH23 + 'August 25'!AH23 +'Sept 25'!AH23 + 'Oct 25'!AH23 + 'Nov 25'!AH23+ 'Dec 25'!AH23 +'Jan 26'!AH23+'Feb 26'!AH23+'March 26'!AH23+'April 26'!AH23+'May 26'!AH23+'June 26'!AH23</f>
        <v>0</v>
      </c>
      <c r="AK23" s="7">
        <f>'July 25'!AI23 + 'August 25'!AI23 +'Sept 25'!AI23 + 'Oct 25'!AI23 + 'Nov 25'!AI23+ 'Dec 25'!AI23 +'Jan 26'!AI23+'Feb 26'!AI23+'March 26'!AI23+'April 26'!AI23+'May 26'!AI23+'June 26'!AI23</f>
        <v>0</v>
      </c>
      <c r="AL23" s="7">
        <f>'July 25'!AJ23 + 'August 25'!AJ23 +'Sept 25'!AJ23 + 'Oct 25'!AJ23 + 'Nov 25'!AJ23+ 'Dec 25'!AJ23 +'Jan 26'!AJ23+'Feb 26'!AJ23+'March 26'!AJ23+'April 26'!AJ23+'May 26'!AJ23+'June 26'!AJ23</f>
        <v>0</v>
      </c>
      <c r="AM23" s="7">
        <f>'July 25'!AK23 + 'August 25'!AK23 +'Sept 25'!AK23 + 'Oct 25'!AK23 + 'Nov 25'!AK23+ 'Dec 25'!AK23 +'Jan 26'!AK23+'Feb 26'!AK23+'March 26'!AK23+'April 26'!AK23+'May 26'!AK23+'June 26'!AK23</f>
        <v>0</v>
      </c>
      <c r="AN23" s="7">
        <f>'July 25'!AL23 + 'August 25'!AL23 +'Sept 25'!AL23 + 'Oct 25'!AL23 + 'Nov 25'!AL23+ 'Dec 25'!AL23 +'Jan 26'!AL23+'Feb 26'!AL23+'March 26'!AL23+'April 26'!AL23+'May 26'!AL23+'June 26'!AL23</f>
        <v>0</v>
      </c>
      <c r="AO23" s="7">
        <f>'July 25'!AM23 + 'August 25'!AM23 +'Sept 25'!AM23 + 'Oct 25'!AM23 + 'Nov 25'!AM23+ 'Dec 25'!AM23 +'Jan 26'!AM23+'Feb 26'!AM23+'March 26'!AM23+'April 26'!AM23+'May 26'!AM23+'June 26'!AM23</f>
        <v>0</v>
      </c>
      <c r="AP23" s="7">
        <f>'July 25'!AN23 + 'August 25'!AN23 +'Sept 25'!AN23 + 'Oct 25'!AN23 + 'Nov 25'!AN23+ 'Dec 25'!AN23 +'Jan 26'!AN23+'Feb 26'!AN23+'March 26'!AN23+'April 26'!AN23+'May 26'!AN23+'June 26'!AN23</f>
        <v>0</v>
      </c>
      <c r="AQ23" s="7">
        <f>'July 25'!AO23 + 'August 25'!AO23 +'Sept 25'!AO23 + 'Oct 25'!AO23 + 'Nov 25'!AO23+ 'Dec 25'!AO23 +'Jan 26'!AO23+'Feb 26'!AO23+'March 26'!AO23+'April 26'!AO23+'May 26'!AO23+'June 26'!AO23</f>
        <v>0</v>
      </c>
      <c r="AR23" s="7">
        <f>'July 25'!AP23 + 'August 25'!AP23 +'Sept 25'!AP23 + 'Oct 25'!AP23 + 'Nov 25'!AP23+ 'Dec 25'!AP23 +'Jan 26'!AP23+'Feb 26'!AP23+'March 26'!AP23+'April 26'!AP23+'May 26'!AP23+'June 26'!AP23</f>
        <v>0</v>
      </c>
      <c r="AS23" s="7">
        <f>'July 25'!AQ23 + 'August 25'!AQ23 +'Sept 25'!AQ23 + 'Oct 25'!AQ23 + 'Nov 25'!AQ23+ 'Dec 25'!AQ23 +'Jan 26'!AQ23+'Feb 26'!AQ23+'March 26'!AQ23+'April 26'!AQ23+'May 26'!AQ23+'June 26'!AQ23</f>
        <v>0</v>
      </c>
      <c r="AT23" s="7">
        <f>'July 25'!AR23 + 'August 25'!AR23 +'Sept 25'!AR23 + 'Oct 25'!AR23 + 'Nov 25'!AR23+ 'Dec 25'!AR23 +'Jan 26'!AR23+'Feb 26'!AR23+'March 26'!AR23+'April 26'!AR23+'May 26'!AR23+'June 26'!AR23</f>
        <v>0</v>
      </c>
      <c r="AU23" s="7">
        <f>'July 25'!AS23 + 'August 25'!AS23 +'Sept 25'!AS23 + 'Oct 25'!AS23 + 'Nov 25'!AS23+ 'Dec 25'!AS23 +'Jan 26'!AS23+'Feb 26'!AS23+'March 26'!AS23+'April 26'!AS23+'May 26'!AS23+'June 26'!AS23</f>
        <v>70</v>
      </c>
      <c r="AV23" s="7">
        <f>'July 25'!AT23 + 'August 25'!AT23 +'Sept 25'!AT23 + 'Oct 25'!AT23 + 'Nov 25'!AT23+ 'Dec 25'!AT23 +'Jan 26'!AT23+'Feb 26'!AT23+'March 26'!AT23+'April 26'!AT23+'May 26'!AT23+'June 26'!AT23</f>
        <v>0</v>
      </c>
      <c r="AW23" s="7">
        <f>'July 25'!AU23 + 'August 25'!AU23 +'Sept 25'!AU23 + 'Oct 25'!AU23 + 'Nov 25'!AU23+ 'Dec 25'!AU23 +'Jan 26'!AU23+'Feb 26'!AU23+'March 26'!AU23+'April 26'!AU23+'May 26'!AU23+'June 26'!AU23</f>
        <v>0</v>
      </c>
      <c r="AX23" s="7">
        <f>'July 25'!AV23 + 'August 25'!AV23 +'Sept 25'!AV23 + 'Oct 25'!AV23 + 'Nov 25'!AV23+ 'Dec 25'!AV23 +'Jan 26'!AV23+'Feb 26'!AV23+'March 26'!AV23+'April 26'!AV23+'May 26'!AV23+'June 26'!AV23</f>
        <v>0</v>
      </c>
      <c r="AY23" s="7">
        <f>'July 25'!AW23 + 'August 25'!AW23 +'Sept 25'!AW23 + 'Oct 25'!AW23 + 'Nov 25'!AW23+ 'Dec 25'!AW23 +'Jan 26'!AW23+'Feb 26'!AW23+'March 26'!AW23+'April 26'!AW23+'May 26'!AW23+'June 26'!AW23</f>
        <v>0</v>
      </c>
      <c r="AZ23" s="7">
        <f>'July 25'!AX23 + 'August 25'!AX23 +'Sept 25'!AX23 + 'Oct 25'!AX23 + 'Nov 25'!AX23+ 'Dec 25'!AX23 +'Jan 26'!AX23+'Feb 26'!AX23+'March 26'!AX23+'April 26'!AX23+'May 26'!AX23+'June 26'!AX23</f>
        <v>0</v>
      </c>
      <c r="BA23" s="7">
        <f>'July 25'!AY23 + 'August 25'!AY23 +'Sept 25'!AY23 + 'Oct 25'!AY23 + 'Nov 25'!AY23+ 'Dec 25'!AY23 +'Jan 26'!AY23+'Feb 26'!AY23+'March 26'!AY23+'April 26'!AY23+'May 26'!AY23+'June 26'!AY23</f>
        <v>0</v>
      </c>
      <c r="BB23" s="7">
        <f>'July 25'!AZ23 + 'August 25'!AZ23 +'Sept 25'!AZ23 + 'Oct 25'!AZ23 + 'Nov 25'!AZ23+ 'Dec 25'!AZ23 +'Jan 26'!AZ23+'Feb 26'!AZ23+'March 26'!AZ23+'April 26'!AZ23+'May 26'!AZ23+'June 26'!AZ23</f>
        <v>0</v>
      </c>
      <c r="BC23" s="7">
        <f>'July 25'!BA23 + 'August 25'!BA23 +'Sept 25'!BA23 + 'Oct 25'!BA23 + 'Nov 25'!BA23+ 'Dec 25'!BA23 +'Jan 26'!BA23+'Feb 26'!BA23+'March 26'!BA23+'April 26'!BA23+'May 26'!BA23+'June 26'!BA23</f>
        <v>0</v>
      </c>
      <c r="BD23" s="7">
        <f>'July 25'!BB23 + 'August 25'!BB23 +'Sept 25'!BB23 + 'Oct 25'!BB23 + 'Nov 25'!BB23+ 'Dec 25'!BB23 +'Jan 26'!BB23+'Feb 26'!BB23+'March 26'!BB23+'April 26'!BB23+'May 26'!BB23+'June 26'!BB23</f>
        <v>0</v>
      </c>
      <c r="BE23" s="7">
        <f>'July 25'!BC23 + 'August 25'!BC23 +'Sept 25'!BC23 + 'Oct 25'!BC23 + 'Nov 25'!BC23+ 'Dec 25'!BC23 +'Jan 26'!BC23+'Feb 26'!BC23+'March 26'!BC23+'April 26'!BC23+'May 26'!BC23+'June 26'!BC23</f>
        <v>0</v>
      </c>
      <c r="BF23" s="7">
        <f>'July 25'!BD23 + 'August 25'!BD23 +'Sept 25'!BD23 + 'Oct 25'!BD23 + 'Nov 25'!BD23+ 'Dec 25'!BD23 +'Jan 26'!BD23+'Feb 26'!BD23+'March 26'!BD23+'April 26'!BD23+'May 26'!BD23+'June 26'!BD23</f>
        <v>0</v>
      </c>
      <c r="BG23" s="7">
        <f>'July 25'!BE23 + 'August 25'!BE23 +'Sept 25'!BE23 + 'Oct 25'!BE23 + 'Nov 25'!BE23+ 'Dec 25'!BE23 +'Jan 26'!BE23+'Feb 26'!BE23+'March 26'!BE23+'April 26'!BE23+'May 26'!BE23+'June 26'!BE23</f>
        <v>60</v>
      </c>
      <c r="BH23" s="7">
        <f>'July 25'!BF23 + 'August 25'!BF23 +'Sept 25'!BF23 + 'Oct 25'!BF23 + 'Nov 25'!BF23+ 'Dec 25'!BF23 +'Jan 26'!BF23+'Feb 26'!BF23+'March 26'!BF23+'April 26'!BF23+'May 26'!BF23+'June 26'!BF23</f>
        <v>0</v>
      </c>
      <c r="BI23" s="7">
        <f>'July 25'!BG23 + 'August 25'!BG23 +'Sept 25'!BG23 + 'Oct 25'!BG23 + 'Nov 25'!BG23+ 'Dec 25'!BG23 +'Jan 26'!BG23+'Feb 26'!BG23+'March 26'!BG23+'April 26'!BG23+'May 26'!BG23+'June 26'!BG23</f>
        <v>0</v>
      </c>
      <c r="BJ23" s="7">
        <f>'July 25'!BH23 + 'August 25'!BH23 +'Sept 25'!BH23 + 'Oct 25'!BH23 + 'Nov 25'!BH23+ 'Dec 25'!BH23 +'Jan 26'!BH23+'Feb 26'!BH23+'March 26'!BH23+'April 26'!BH23+'May 26'!BH23+'June 26'!BH23</f>
        <v>0</v>
      </c>
      <c r="BK23" s="7">
        <f>'July 25'!BI23 + 'August 25'!BI23 +'Sept 25'!BI23 + 'Oct 25'!BI23 + 'Nov 25'!BI23+ 'Dec 25'!BI23 +'Jan 26'!BI23+'Feb 26'!BI23+'March 26'!BI23+'April 26'!BI23+'May 26'!BI23+'June 26'!BI23</f>
        <v>0</v>
      </c>
      <c r="BL23" s="7">
        <f>'July 25'!BJ23 + 'August 25'!BJ23 +'Sept 25'!BJ23 + 'Oct 25'!BJ23 + 'Nov 25'!BJ23+ 'Dec 25'!BJ23 +'Jan 26'!BJ23+'Feb 26'!BJ23+'March 26'!BJ23+'April 26'!BJ23+'May 26'!BJ23+'June 26'!BJ23</f>
        <v>0</v>
      </c>
      <c r="BM23" s="7">
        <f>'July 25'!BK23 + 'August 25'!BK23 +'Sept 25'!BK23 + 'Oct 25'!BK23 + 'Nov 25'!BK23+ 'Dec 25'!BK23 +'Jan 26'!BK23+'Feb 26'!BK23+'March 26'!BK23+'April 26'!BK23+'May 26'!BK23+'June 26'!BK23</f>
        <v>0</v>
      </c>
      <c r="BN23" s="7">
        <f>'July 25'!BL23 + 'August 25'!BL23 +'Sept 25'!BL23 + 'Oct 25'!BL23 + 'Nov 25'!BL23+ 'Dec 25'!BL23 +'Jan 26'!BL23+'Feb 26'!BL23+'March 26'!BL23+'April 26'!BL23+'May 26'!BL23+'June 26'!BL23</f>
        <v>0</v>
      </c>
      <c r="BO23" s="7">
        <f>'July 25'!BM23 + 'August 25'!BM23 +'Sept 25'!BM23 + 'Oct 25'!BM23 + 'Nov 25'!BM23+ 'Dec 25'!BM23 +'Jan 26'!BM23+'Feb 26'!BM23+'March 26'!BM23+'April 26'!BM23+'May 26'!BM23+'June 26'!BM23</f>
        <v>0</v>
      </c>
      <c r="BP23" s="7">
        <f>'July 25'!BN23 + 'August 25'!BN23 +'Sept 25'!BN23 + 'Oct 25'!BN23 + 'Nov 25'!BN23+ 'Dec 25'!BN23 +'Jan 26'!BN23+'Feb 26'!BN23+'March 26'!BN23+'April 26'!BN23+'May 26'!BN23+'June 26'!BN23</f>
        <v>0</v>
      </c>
      <c r="BQ23" s="7">
        <f>'July 25'!BO23 + 'August 25'!BO23 +'Sept 25'!BO23 + 'Oct 25'!BO23 + 'Nov 25'!BO23+ 'Dec 25'!BO23 +'Jan 26'!BO23+'Feb 26'!BO23+'March 26'!BO23+'April 26'!BO23+'May 26'!BO23+'June 26'!BO23</f>
        <v>0</v>
      </c>
      <c r="BR23" s="7">
        <f>'July 25'!BP23 + 'August 25'!BP23 +'Sept 25'!BP23 + 'Oct 25'!BP23 + 'Nov 25'!BP23+ 'Dec 25'!BP23 +'Jan 26'!BP23+'Feb 26'!BP23+'March 26'!BP23+'April 26'!BP23+'May 26'!BP23+'June 26'!BP23</f>
        <v>0</v>
      </c>
      <c r="BS23" s="7">
        <f>'July 25'!BQ23 + 'August 25'!BQ23 +'Sept 25'!BQ23 + 'Oct 25'!BQ23 + 'Nov 25'!BQ23+ 'Dec 25'!BQ23 +'Jan 26'!BQ23+'Feb 26'!BQ23+'March 26'!BQ23+'April 26'!BQ23+'May 26'!BQ23+'June 26'!BQ23</f>
        <v>0</v>
      </c>
      <c r="BT23" s="7">
        <f>'July 25'!BR23 + 'August 25'!BR23 +'Sept 25'!BR23 + 'Oct 25'!BR23 + 'Nov 25'!BR23+ 'Dec 25'!BR23 +'Jan 26'!BR23+'Feb 26'!BR23+'March 26'!BR23+'April 26'!BR23+'May 26'!BR23+'June 26'!BR23</f>
        <v>0</v>
      </c>
      <c r="BU23" s="7">
        <f>'July 25'!BS23 + 'August 25'!BS23 +'Sept 25'!BS23 + 'Oct 25'!BS23 + 'Nov 25'!BS23+ 'Dec 25'!BS23 +'Jan 26'!BS23+'Feb 26'!BS23+'March 26'!BS23+'April 26'!BS23+'May 26'!BS23+'June 26'!BS23</f>
        <v>0</v>
      </c>
      <c r="BV23" s="7">
        <f>'July 25'!BT23 + 'August 25'!BT23 +'Sept 25'!BT23 + 'Oct 25'!BT23 + 'Nov 25'!BT23+ 'Dec 25'!BT23 +'Jan 26'!BT23+'Feb 26'!BT23+'March 26'!BT23+'April 26'!BT23+'May 26'!BT23+'June 26'!BT23</f>
        <v>0</v>
      </c>
      <c r="BW23" s="7">
        <f>'July 25'!BU23 + 'August 25'!BU23 +'Sept 25'!BU23 + 'Oct 25'!BU23 + 'Nov 25'!BU23+ 'Dec 25'!BU23 +'Jan 26'!BU23+'Feb 26'!BU23+'March 26'!BU23+'April 26'!BU23+'May 26'!BU23+'June 26'!BU23</f>
        <v>0</v>
      </c>
      <c r="BX23" s="7">
        <f>'July 25'!BV23 + 'August 25'!BV23 +'Sept 25'!BV23 + 'Oct 25'!BV23 + 'Nov 25'!BV23+ 'Dec 25'!BV23 +'Jan 26'!BV23+'Feb 26'!BV23+'March 26'!BV23+'April 26'!BV23+'May 26'!BV23+'June 26'!BV23</f>
        <v>0</v>
      </c>
      <c r="BY23" s="7">
        <f>'July 25'!BW23 + 'August 25'!BW23 +'Sept 25'!BW23 + 'Oct 25'!BW23 + 'Nov 25'!BW23+ 'Dec 25'!BW23 +'Jan 26'!BW23+'Feb 26'!BW23+'March 26'!BW23+'April 26'!BW23+'May 26'!BW23+'June 26'!BW23</f>
        <v>385</v>
      </c>
      <c r="BZ23" s="7">
        <f>'July 25'!BX23 + 'August 25'!BX23 +'Sept 25'!BX23 + 'Oct 25'!BX23 + 'Nov 25'!BX23+ 'Dec 25'!BX23 +'Jan 26'!BX23+'Feb 26'!BX23+'March 26'!BX23+'April 26'!BX23+'May 26'!BX23+'June 26'!BX23</f>
        <v>160</v>
      </c>
      <c r="CA23" s="7">
        <f>'July 25'!BY23 + 'August 25'!BY23 +'Sept 25'!BY23 + 'Oct 25'!BY23 + 'Nov 25'!BY23+ 'Dec 25'!BY23 +'Jan 26'!BY23+'Feb 26'!BY23+'March 26'!BY23+'April 26'!BY23+'May 26'!BY23+'June 26'!BY23</f>
        <v>0</v>
      </c>
      <c r="CB23" s="7">
        <f>'July 25'!BZ23 + 'August 25'!BZ23 +'Sept 25'!BZ23 + 'Oct 25'!BZ23 + 'Nov 25'!BZ23+ 'Dec 25'!BZ23 +'Jan 26'!BZ23+'Feb 26'!BZ23+'March 26'!BZ23+'April 26'!BZ23+'May 26'!BZ23+'June 26'!BZ23</f>
        <v>0</v>
      </c>
      <c r="CC23" s="7">
        <f>'July 25'!CA23 + 'August 25'!CA23 +'Sept 25'!CA23 + 'Oct 25'!CA23 + 'Nov 25'!CA23+ 'Dec 25'!CA23 +'Jan 26'!CA23+'Feb 26'!CA23+'March 26'!CA23+'April 26'!CA23+'May 26'!CA23+'June 26'!CA23</f>
        <v>0</v>
      </c>
      <c r="CD23" s="7">
        <f>'July 25'!CB23 + 'August 25'!CB23 +'Sept 25'!CB23 + 'Oct 25'!CB23 + 'Nov 25'!CB23+ 'Dec 25'!CB23 +'Jan 26'!CB23+'Feb 26'!CB23+'March 26'!CB23+'April 26'!CB23+'May 26'!CB23+'June 26'!CB23</f>
        <v>0</v>
      </c>
      <c r="CE23" s="7">
        <f>'July 25'!CC23 + 'August 25'!CC23 +'Sept 25'!CC23 + 'Oct 25'!CC23 + 'Nov 25'!CC23+ 'Dec 25'!CC23 +'Jan 26'!CC23+'Feb 26'!CC23+'March 26'!CC23+'April 26'!CC23+'May 26'!CC23+'June 26'!CC23</f>
        <v>85</v>
      </c>
      <c r="CF23" s="8" cm="1">
        <f t="array" ref="CF23">SUMPRODUCT(--(UPPER($F$2:$CE$2)="NET NEW"),$F23:$CE23)</f>
        <v>160</v>
      </c>
      <c r="CG23" s="3">
        <f>SUMIF($F$2:$CE$2,"Enhance Existing",$F23:$CE23)</f>
        <v>0</v>
      </c>
      <c r="CH23" s="3">
        <f>SUMIF($F$2:$CE$2,"Maintenance",$F23:$CE23)</f>
        <v>1205</v>
      </c>
    </row>
    <row r="24" spans="1:86" ht="15.95">
      <c r="A24" s="7" t="s">
        <v>0</v>
      </c>
      <c r="B24" s="7" t="s">
        <v>39</v>
      </c>
      <c r="C24" s="7" t="s">
        <v>64</v>
      </c>
      <c r="D24" s="12">
        <v>100</v>
      </c>
      <c r="E24" s="7"/>
      <c r="F24" s="7">
        <f>'July 25'!D24 + 'August 25'!D24 +'Sept 25'!D24 + 'Oct 25'!D24 + 'Nov 25'!D24+ 'Dec 25'!D24 +'Jan 26'!D24+'Feb 26'!D24+'March 26'!D24+'April 26'!D24+'May 26'!D24+'June 26'!D24</f>
        <v>0</v>
      </c>
      <c r="G24" s="7">
        <f>'July 25'!E24 + 'August 25'!E24 +'Sept 25'!E24 + 'Oct 25'!E24 + 'Nov 25'!E24+ 'Dec 25'!E24 +'Jan 26'!E24+'Feb 26'!E24+'March 26'!E24+'April 26'!E24+'May 26'!E24+'June 26'!E24</f>
        <v>0</v>
      </c>
      <c r="H24" s="7">
        <f>'July 25'!F24 + 'August 25'!F24 +'Sept 25'!F24 + 'Oct 25'!F24 + 'Nov 25'!F24+ 'Dec 25'!F24 +'Jan 26'!F24+'Feb 26'!F24+'March 26'!F24+'April 26'!F24+'May 26'!F24+'June 26'!F24</f>
        <v>0</v>
      </c>
      <c r="I24" s="7">
        <f>'July 25'!G24 + 'August 25'!G24 +'Sept 25'!G24 + 'Oct 25'!G24 + 'Nov 25'!G24+ 'Dec 25'!G24 +'Jan 26'!G24+'Feb 26'!G24+'March 26'!G24+'April 26'!G24+'May 26'!G24+'June 26'!G24</f>
        <v>0</v>
      </c>
      <c r="J24" s="7">
        <f>'July 25'!H24 + 'August 25'!H24 +'Sept 25'!H24 + 'Oct 25'!H24 + 'Nov 25'!H24+ 'Dec 25'!H24 +'Jan 26'!H24+'Feb 26'!H24+'March 26'!H24+'April 26'!H24+'May 26'!H24+'June 26'!H24</f>
        <v>0</v>
      </c>
      <c r="K24" s="7">
        <f>'July 25'!I24 + 'August 25'!I24 +'Sept 25'!I24 + 'Oct 25'!I24 + 'Nov 25'!I24+ 'Dec 25'!I24 +'Jan 26'!I24+'Feb 26'!I24+'March 26'!I24+'April 26'!I24+'May 26'!I24+'June 26'!I24</f>
        <v>0</v>
      </c>
      <c r="L24" s="7">
        <f>'July 25'!J24 + 'August 25'!J24 +'Sept 25'!J24 + 'Oct 25'!J24 + 'Nov 25'!J24+ 'Dec 25'!J24 +'Jan 26'!J24+'Feb 26'!J24+'March 26'!J24+'April 26'!J24+'May 26'!J24+'June 26'!J24</f>
        <v>0</v>
      </c>
      <c r="M24" s="7">
        <f>'July 25'!K24 + 'August 25'!K24 +'Sept 25'!K24 + 'Oct 25'!K24 + 'Nov 25'!K24+ 'Dec 25'!K24 +'Jan 26'!K24+'Feb 26'!K24+'March 26'!K24+'April 26'!K24+'May 26'!K24+'June 26'!K24</f>
        <v>0</v>
      </c>
      <c r="N24" s="7">
        <f>'July 25'!L24 + 'August 25'!L24 +'Sept 25'!L24 + 'Oct 25'!L24 + 'Nov 25'!L24+ 'Dec 25'!L24 +'Jan 26'!L24+'Feb 26'!L24+'March 26'!L24+'April 26'!L24+'May 26'!L24+'June 26'!L24</f>
        <v>0</v>
      </c>
      <c r="O24" s="7">
        <f>'July 25'!M24 + 'August 25'!M24 +'Sept 25'!M24 + 'Oct 25'!M24 + 'Nov 25'!M24+ 'Dec 25'!M24 +'Jan 26'!M24+'Feb 26'!M24+'March 26'!M24+'April 26'!M24+'May 26'!M24+'June 26'!M24</f>
        <v>0</v>
      </c>
      <c r="P24" s="7">
        <f>'July 25'!N24 + 'August 25'!N24 +'Sept 25'!N24 + 'Oct 25'!N24 + 'Nov 25'!N24+ 'Dec 25'!N24 +'Jan 26'!N24+'Feb 26'!N24+'March 26'!N24+'April 26'!N24+'May 26'!N24+'June 26'!N24</f>
        <v>0</v>
      </c>
      <c r="Q24" s="7">
        <f>'July 25'!O24 + 'August 25'!O24 +'Sept 25'!O24 + 'Oct 25'!O24 + 'Nov 25'!O24+ 'Dec 25'!O24 +'Jan 26'!O24+'Feb 26'!O24+'March 26'!O24+'April 26'!O24+'May 26'!O24+'June 26'!O24</f>
        <v>0</v>
      </c>
      <c r="R24" s="7">
        <f>'July 25'!P24 + 'August 25'!P24 +'Sept 25'!P24 + 'Oct 25'!P24 + 'Nov 25'!P24+ 'Dec 25'!P24 +'Jan 26'!P24+'Feb 26'!P24+'March 26'!P24+'April 26'!P24+'May 26'!P24+'June 26'!P24</f>
        <v>0</v>
      </c>
      <c r="S24" s="7">
        <f>'July 25'!Q24 + 'August 25'!Q24 +'Sept 25'!Q24 + 'Oct 25'!Q24 + 'Nov 25'!Q24+ 'Dec 25'!Q24 +'Jan 26'!Q24+'Feb 26'!Q24+'March 26'!Q24+'April 26'!Q24+'May 26'!Q24+'June 26'!Q24</f>
        <v>0</v>
      </c>
      <c r="T24" s="7">
        <f>'July 25'!R24 + 'August 25'!R24 +'Sept 25'!R24 + 'Oct 25'!R24 + 'Nov 25'!R24+ 'Dec 25'!R24 +'Jan 26'!R24+'Feb 26'!R24+'March 26'!R24+'April 26'!R24+'May 26'!R24+'June 26'!R24</f>
        <v>0</v>
      </c>
      <c r="U24" s="7">
        <f>'July 25'!S24 + 'August 25'!S24 +'Sept 25'!S24 + 'Oct 25'!S24 + 'Nov 25'!S24+ 'Dec 25'!S24 +'Jan 26'!S24+'Feb 26'!S24+'March 26'!S24+'April 26'!S24+'May 26'!S24+'June 26'!S24</f>
        <v>0</v>
      </c>
      <c r="V24" s="7">
        <f>'July 25'!T24 + 'August 25'!T24 +'Sept 25'!T24 + 'Oct 25'!T24 + 'Nov 25'!T24+ 'Dec 25'!T24 +'Jan 26'!T24+'Feb 26'!T24+'March 26'!T24+'April 26'!T24+'May 26'!T24+'June 26'!T24</f>
        <v>0</v>
      </c>
      <c r="W24" s="7">
        <f>'July 25'!U24 + 'August 25'!U24 +'Sept 25'!U24 + 'Oct 25'!U24 + 'Nov 25'!U24+ 'Dec 25'!U24 +'Jan 26'!U24+'Feb 26'!U24+'March 26'!U24+'April 26'!U24+'May 26'!U24+'June 26'!U24</f>
        <v>0</v>
      </c>
      <c r="X24" s="7">
        <f>'July 25'!V24 + 'August 25'!V24 +'Sept 25'!V24 + 'Oct 25'!V24 + 'Nov 25'!V24+ 'Dec 25'!V24 +'Jan 26'!V24+'Feb 26'!V24+'March 26'!V24+'April 26'!V24+'May 26'!V24+'June 26'!V24</f>
        <v>0</v>
      </c>
      <c r="Y24" s="7">
        <f>'July 25'!W24 + 'August 25'!W24 +'Sept 25'!W24 + 'Oct 25'!W24 + 'Nov 25'!W24+ 'Dec 25'!W24 +'Jan 26'!W24+'Feb 26'!W24+'March 26'!W24+'April 26'!W24+'May 26'!W24+'June 26'!W24</f>
        <v>0</v>
      </c>
      <c r="Z24" s="7">
        <f>'July 25'!X24 + 'August 25'!X24 +'Sept 25'!X24 + 'Oct 25'!X24 + 'Nov 25'!X24+ 'Dec 25'!X24 +'Jan 26'!X24+'Feb 26'!X24+'March 26'!X24+'April 26'!X24+'May 26'!X24+'June 26'!X24</f>
        <v>240</v>
      </c>
      <c r="AA24" s="7">
        <f>'July 25'!Y24 + 'August 25'!Y24 +'Sept 25'!Y24 + 'Oct 25'!Y24 + 'Nov 25'!Y24+ 'Dec 25'!Y24 +'Jan 26'!Y24+'Feb 26'!Y24+'March 26'!Y24+'April 26'!Y24+'May 26'!Y24+'June 26'!Y24</f>
        <v>0</v>
      </c>
      <c r="AB24" s="7">
        <f>'July 25'!Z24 + 'August 25'!Z24 +'Sept 25'!Z24 + 'Oct 25'!Z24 + 'Nov 25'!Z24+ 'Dec 25'!Z24 +'Jan 26'!Z24+'Feb 26'!Z24+'March 26'!Z24+'April 26'!Z24+'May 26'!Z24+'June 26'!Z24</f>
        <v>0</v>
      </c>
      <c r="AC24" s="7">
        <f>'July 25'!AA24 + 'August 25'!AA24 +'Sept 25'!AA24 + 'Oct 25'!AA24 + 'Nov 25'!AA24+ 'Dec 25'!AA24 +'Jan 26'!AA24+'Feb 26'!AA24+'March 26'!AA24+'April 26'!AA24+'May 26'!AA24+'June 26'!AA24</f>
        <v>150</v>
      </c>
      <c r="AD24" s="7">
        <f>'July 25'!AB24 + 'August 25'!AB24 +'Sept 25'!AB24 + 'Oct 25'!AB24 + 'Nov 25'!AB24+ 'Dec 25'!AB24 +'Jan 26'!AB24+'Feb 26'!AB24+'March 26'!AB24+'April 26'!AB24+'May 26'!AB24+'June 26'!AB24</f>
        <v>0</v>
      </c>
      <c r="AE24" s="7">
        <f>'July 25'!AC24 + 'August 25'!AC24 +'Sept 25'!AC24 + 'Oct 25'!AC24 + 'Nov 25'!AC24+ 'Dec 25'!AC24 +'Jan 26'!AC24+'Feb 26'!AC24+'March 26'!AC24+'April 26'!AC24+'May 26'!AC24+'June 26'!AC24</f>
        <v>0</v>
      </c>
      <c r="AF24" s="7">
        <f>'July 25'!AD24 + 'August 25'!AD24 +'Sept 25'!AD24 + 'Oct 25'!AD24 + 'Nov 25'!AD24+ 'Dec 25'!AD24 +'Jan 26'!AD24+'Feb 26'!AD24+'March 26'!AD24+'April 26'!AD24+'May 26'!AD24+'June 26'!AD24</f>
        <v>0</v>
      </c>
      <c r="AG24" s="7">
        <f>'July 25'!AE24 + 'August 25'!AE24 +'Sept 25'!AE24 + 'Oct 25'!AE24 + 'Nov 25'!AE24+ 'Dec 25'!AE24 +'Jan 26'!AE24+'Feb 26'!AE24+'March 26'!AE24+'April 26'!AE24+'May 26'!AE24+'June 26'!AE24</f>
        <v>0</v>
      </c>
      <c r="AH24" s="7">
        <f>'July 25'!AF24 + 'August 25'!AF24 +'Sept 25'!AF24 + 'Oct 25'!AF24 + 'Nov 25'!AF24+ 'Dec 25'!AF24 +'Jan 26'!AF24+'Feb 26'!AF24+'March 26'!AF24+'April 26'!AF24+'May 26'!AF24+'June 26'!AF24</f>
        <v>0</v>
      </c>
      <c r="AI24" s="7">
        <f>'July 25'!AG24 + 'August 25'!AG24 +'Sept 25'!AG24 + 'Oct 25'!AG24 + 'Nov 25'!AG24+ 'Dec 25'!AG24 +'Jan 26'!AG24+'Feb 26'!AG24+'March 26'!AG24+'April 26'!AG24+'May 26'!AG24+'June 26'!AG24</f>
        <v>0</v>
      </c>
      <c r="AJ24" s="7">
        <f>'July 25'!AH24 + 'August 25'!AH24 +'Sept 25'!AH24 + 'Oct 25'!AH24 + 'Nov 25'!AH24+ 'Dec 25'!AH24 +'Jan 26'!AH24+'Feb 26'!AH24+'March 26'!AH24+'April 26'!AH24+'May 26'!AH24+'June 26'!AH24</f>
        <v>0</v>
      </c>
      <c r="AK24" s="7">
        <f>'July 25'!AI24 + 'August 25'!AI24 +'Sept 25'!AI24 + 'Oct 25'!AI24 + 'Nov 25'!AI24+ 'Dec 25'!AI24 +'Jan 26'!AI24+'Feb 26'!AI24+'March 26'!AI24+'April 26'!AI24+'May 26'!AI24+'June 26'!AI24</f>
        <v>0</v>
      </c>
      <c r="AL24" s="7">
        <f>'July 25'!AJ24 + 'August 25'!AJ24 +'Sept 25'!AJ24 + 'Oct 25'!AJ24 + 'Nov 25'!AJ24+ 'Dec 25'!AJ24 +'Jan 26'!AJ24+'Feb 26'!AJ24+'March 26'!AJ24+'April 26'!AJ24+'May 26'!AJ24+'June 26'!AJ24</f>
        <v>0</v>
      </c>
      <c r="AM24" s="7">
        <f>'July 25'!AK24 + 'August 25'!AK24 +'Sept 25'!AK24 + 'Oct 25'!AK24 + 'Nov 25'!AK24+ 'Dec 25'!AK24 +'Jan 26'!AK24+'Feb 26'!AK24+'March 26'!AK24+'April 26'!AK24+'May 26'!AK24+'June 26'!AK24</f>
        <v>0</v>
      </c>
      <c r="AN24" s="7">
        <f>'July 25'!AL24 + 'August 25'!AL24 +'Sept 25'!AL24 + 'Oct 25'!AL24 + 'Nov 25'!AL24+ 'Dec 25'!AL24 +'Jan 26'!AL24+'Feb 26'!AL24+'March 26'!AL24+'April 26'!AL24+'May 26'!AL24+'June 26'!AL24</f>
        <v>0</v>
      </c>
      <c r="AO24" s="7">
        <f>'July 25'!AM24 + 'August 25'!AM24 +'Sept 25'!AM24 + 'Oct 25'!AM24 + 'Nov 25'!AM24+ 'Dec 25'!AM24 +'Jan 26'!AM24+'Feb 26'!AM24+'March 26'!AM24+'April 26'!AM24+'May 26'!AM24+'June 26'!AM24</f>
        <v>0</v>
      </c>
      <c r="AP24" s="7">
        <f>'July 25'!AN24 + 'August 25'!AN24 +'Sept 25'!AN24 + 'Oct 25'!AN24 + 'Nov 25'!AN24+ 'Dec 25'!AN24 +'Jan 26'!AN24+'Feb 26'!AN24+'March 26'!AN24+'April 26'!AN24+'May 26'!AN24+'June 26'!AN24</f>
        <v>0</v>
      </c>
      <c r="AQ24" s="7">
        <f>'July 25'!AO24 + 'August 25'!AO24 +'Sept 25'!AO24 + 'Oct 25'!AO24 + 'Nov 25'!AO24+ 'Dec 25'!AO24 +'Jan 26'!AO24+'Feb 26'!AO24+'March 26'!AO24+'April 26'!AO24+'May 26'!AO24+'June 26'!AO24</f>
        <v>0</v>
      </c>
      <c r="AR24" s="7">
        <f>'July 25'!AP24 + 'August 25'!AP24 +'Sept 25'!AP24 + 'Oct 25'!AP24 + 'Nov 25'!AP24+ 'Dec 25'!AP24 +'Jan 26'!AP24+'Feb 26'!AP24+'March 26'!AP24+'April 26'!AP24+'May 26'!AP24+'June 26'!AP24</f>
        <v>0</v>
      </c>
      <c r="AS24" s="7">
        <f>'July 25'!AQ24 + 'August 25'!AQ24 +'Sept 25'!AQ24 + 'Oct 25'!AQ24 + 'Nov 25'!AQ24+ 'Dec 25'!AQ24 +'Jan 26'!AQ24+'Feb 26'!AQ24+'March 26'!AQ24+'April 26'!AQ24+'May 26'!AQ24+'June 26'!AQ24</f>
        <v>0</v>
      </c>
      <c r="AT24" s="7">
        <f>'July 25'!AR24 + 'August 25'!AR24 +'Sept 25'!AR24 + 'Oct 25'!AR24 + 'Nov 25'!AR24+ 'Dec 25'!AR24 +'Jan 26'!AR24+'Feb 26'!AR24+'March 26'!AR24+'April 26'!AR24+'May 26'!AR24+'June 26'!AR24</f>
        <v>0</v>
      </c>
      <c r="AU24" s="7">
        <f>'July 25'!AS24 + 'August 25'!AS24 +'Sept 25'!AS24 + 'Oct 25'!AS24 + 'Nov 25'!AS24+ 'Dec 25'!AS24 +'Jan 26'!AS24+'Feb 26'!AS24+'March 26'!AS24+'April 26'!AS24+'May 26'!AS24+'June 26'!AS24</f>
        <v>0</v>
      </c>
      <c r="AV24" s="7">
        <f>'July 25'!AT24 + 'August 25'!AT24 +'Sept 25'!AT24 + 'Oct 25'!AT24 + 'Nov 25'!AT24+ 'Dec 25'!AT24 +'Jan 26'!AT24+'Feb 26'!AT24+'March 26'!AT24+'April 26'!AT24+'May 26'!AT24+'June 26'!AT24</f>
        <v>0</v>
      </c>
      <c r="AW24" s="7">
        <f>'July 25'!AU24 + 'August 25'!AU24 +'Sept 25'!AU24 + 'Oct 25'!AU24 + 'Nov 25'!AU24+ 'Dec 25'!AU24 +'Jan 26'!AU24+'Feb 26'!AU24+'March 26'!AU24+'April 26'!AU24+'May 26'!AU24+'June 26'!AU24</f>
        <v>0</v>
      </c>
      <c r="AX24" s="7">
        <f>'July 25'!AV24 + 'August 25'!AV24 +'Sept 25'!AV24 + 'Oct 25'!AV24 + 'Nov 25'!AV24+ 'Dec 25'!AV24 +'Jan 26'!AV24+'Feb 26'!AV24+'March 26'!AV24+'April 26'!AV24+'May 26'!AV24+'June 26'!AV24</f>
        <v>0</v>
      </c>
      <c r="AY24" s="7">
        <f>'July 25'!AW24 + 'August 25'!AW24 +'Sept 25'!AW24 + 'Oct 25'!AW24 + 'Nov 25'!AW24+ 'Dec 25'!AW24 +'Jan 26'!AW24+'Feb 26'!AW24+'March 26'!AW24+'April 26'!AW24+'May 26'!AW24+'June 26'!AW24</f>
        <v>0</v>
      </c>
      <c r="AZ24" s="7">
        <f>'July 25'!AX24 + 'August 25'!AX24 +'Sept 25'!AX24 + 'Oct 25'!AX24 + 'Nov 25'!AX24+ 'Dec 25'!AX24 +'Jan 26'!AX24+'Feb 26'!AX24+'March 26'!AX24+'April 26'!AX24+'May 26'!AX24+'June 26'!AX24</f>
        <v>0</v>
      </c>
      <c r="BA24" s="7">
        <f>'July 25'!AY24 + 'August 25'!AY24 +'Sept 25'!AY24 + 'Oct 25'!AY24 + 'Nov 25'!AY24+ 'Dec 25'!AY24 +'Jan 26'!AY24+'Feb 26'!AY24+'March 26'!AY24+'April 26'!AY24+'May 26'!AY24+'June 26'!AY24</f>
        <v>0</v>
      </c>
      <c r="BB24" s="7">
        <f>'July 25'!AZ24 + 'August 25'!AZ24 +'Sept 25'!AZ24 + 'Oct 25'!AZ24 + 'Nov 25'!AZ24+ 'Dec 25'!AZ24 +'Jan 26'!AZ24+'Feb 26'!AZ24+'March 26'!AZ24+'April 26'!AZ24+'May 26'!AZ24+'June 26'!AZ24</f>
        <v>0</v>
      </c>
      <c r="BC24" s="7">
        <f>'July 25'!BA24 + 'August 25'!BA24 +'Sept 25'!BA24 + 'Oct 25'!BA24 + 'Nov 25'!BA24+ 'Dec 25'!BA24 +'Jan 26'!BA24+'Feb 26'!BA24+'March 26'!BA24+'April 26'!BA24+'May 26'!BA24+'June 26'!BA24</f>
        <v>0</v>
      </c>
      <c r="BD24" s="7">
        <f>'July 25'!BB24 + 'August 25'!BB24 +'Sept 25'!BB24 + 'Oct 25'!BB24 + 'Nov 25'!BB24+ 'Dec 25'!BB24 +'Jan 26'!BB24+'Feb 26'!BB24+'March 26'!BB24+'April 26'!BB24+'May 26'!BB24+'June 26'!BB24</f>
        <v>0</v>
      </c>
      <c r="BE24" s="7">
        <f>'July 25'!BC24 + 'August 25'!BC24 +'Sept 25'!BC24 + 'Oct 25'!BC24 + 'Nov 25'!BC24+ 'Dec 25'!BC24 +'Jan 26'!BC24+'Feb 26'!BC24+'March 26'!BC24+'April 26'!BC24+'May 26'!BC24+'June 26'!BC24</f>
        <v>0</v>
      </c>
      <c r="BF24" s="7">
        <f>'July 25'!BD24 + 'August 25'!BD24 +'Sept 25'!BD24 + 'Oct 25'!BD24 + 'Nov 25'!BD24+ 'Dec 25'!BD24 +'Jan 26'!BD24+'Feb 26'!BD24+'March 26'!BD24+'April 26'!BD24+'May 26'!BD24+'June 26'!BD24</f>
        <v>0</v>
      </c>
      <c r="BG24" s="7">
        <f>'July 25'!BE24 + 'August 25'!BE24 +'Sept 25'!BE24 + 'Oct 25'!BE24 + 'Nov 25'!BE24+ 'Dec 25'!BE24 +'Jan 26'!BE24+'Feb 26'!BE24+'March 26'!BE24+'April 26'!BE24+'May 26'!BE24+'June 26'!BE24</f>
        <v>0</v>
      </c>
      <c r="BH24" s="7">
        <f>'July 25'!BF24 + 'August 25'!BF24 +'Sept 25'!BF24 + 'Oct 25'!BF24 + 'Nov 25'!BF24+ 'Dec 25'!BF24 +'Jan 26'!BF24+'Feb 26'!BF24+'March 26'!BF24+'April 26'!BF24+'May 26'!BF24+'June 26'!BF24</f>
        <v>0</v>
      </c>
      <c r="BI24" s="7">
        <f>'July 25'!BG24 + 'August 25'!BG24 +'Sept 25'!BG24 + 'Oct 25'!BG24 + 'Nov 25'!BG24+ 'Dec 25'!BG24 +'Jan 26'!BG24+'Feb 26'!BG24+'March 26'!BG24+'April 26'!BG24+'May 26'!BG24+'June 26'!BG24</f>
        <v>0</v>
      </c>
      <c r="BJ24" s="7">
        <f>'July 25'!BH24 + 'August 25'!BH24 +'Sept 25'!BH24 + 'Oct 25'!BH24 + 'Nov 25'!BH24+ 'Dec 25'!BH24 +'Jan 26'!BH24+'Feb 26'!BH24+'March 26'!BH24+'April 26'!BH24+'May 26'!BH24+'June 26'!BH24</f>
        <v>0</v>
      </c>
      <c r="BK24" s="7">
        <f>'July 25'!BI24 + 'August 25'!BI24 +'Sept 25'!BI24 + 'Oct 25'!BI24 + 'Nov 25'!BI24+ 'Dec 25'!BI24 +'Jan 26'!BI24+'Feb 26'!BI24+'March 26'!BI24+'April 26'!BI24+'May 26'!BI24+'June 26'!BI24</f>
        <v>0</v>
      </c>
      <c r="BL24" s="7">
        <f>'July 25'!BJ24 + 'August 25'!BJ24 +'Sept 25'!BJ24 + 'Oct 25'!BJ24 + 'Nov 25'!BJ24+ 'Dec 25'!BJ24 +'Jan 26'!BJ24+'Feb 26'!BJ24+'March 26'!BJ24+'April 26'!BJ24+'May 26'!BJ24+'June 26'!BJ24</f>
        <v>0</v>
      </c>
      <c r="BM24" s="7">
        <f>'July 25'!BK24 + 'August 25'!BK24 +'Sept 25'!BK24 + 'Oct 25'!BK24 + 'Nov 25'!BK24+ 'Dec 25'!BK24 +'Jan 26'!BK24+'Feb 26'!BK24+'March 26'!BK24+'April 26'!BK24+'May 26'!BK24+'June 26'!BK24</f>
        <v>0</v>
      </c>
      <c r="BN24" s="7">
        <f>'July 25'!BL24 + 'August 25'!BL24 +'Sept 25'!BL24 + 'Oct 25'!BL24 + 'Nov 25'!BL24+ 'Dec 25'!BL24 +'Jan 26'!BL24+'Feb 26'!BL24+'March 26'!BL24+'April 26'!BL24+'May 26'!BL24+'June 26'!BL24</f>
        <v>0</v>
      </c>
      <c r="BO24" s="7">
        <f>'July 25'!BM24 + 'August 25'!BM24 +'Sept 25'!BM24 + 'Oct 25'!BM24 + 'Nov 25'!BM24+ 'Dec 25'!BM24 +'Jan 26'!BM24+'Feb 26'!BM24+'March 26'!BM24+'April 26'!BM24+'May 26'!BM24+'June 26'!BM24</f>
        <v>0</v>
      </c>
      <c r="BP24" s="7">
        <f>'July 25'!BN24 + 'August 25'!BN24 +'Sept 25'!BN24 + 'Oct 25'!BN24 + 'Nov 25'!BN24+ 'Dec 25'!BN24 +'Jan 26'!BN24+'Feb 26'!BN24+'March 26'!BN24+'April 26'!BN24+'May 26'!BN24+'June 26'!BN24</f>
        <v>0</v>
      </c>
      <c r="BQ24" s="7">
        <f>'July 25'!BO24 + 'August 25'!BO24 +'Sept 25'!BO24 + 'Oct 25'!BO24 + 'Nov 25'!BO24+ 'Dec 25'!BO24 +'Jan 26'!BO24+'Feb 26'!BO24+'March 26'!BO24+'April 26'!BO24+'May 26'!BO24+'June 26'!BO24</f>
        <v>0</v>
      </c>
      <c r="BR24" s="7">
        <f>'July 25'!BP24 + 'August 25'!BP24 +'Sept 25'!BP24 + 'Oct 25'!BP24 + 'Nov 25'!BP24+ 'Dec 25'!BP24 +'Jan 26'!BP24+'Feb 26'!BP24+'March 26'!BP24+'April 26'!BP24+'May 26'!BP24+'June 26'!BP24</f>
        <v>0</v>
      </c>
      <c r="BS24" s="7">
        <f>'July 25'!BQ24 + 'August 25'!BQ24 +'Sept 25'!BQ24 + 'Oct 25'!BQ24 + 'Nov 25'!BQ24+ 'Dec 25'!BQ24 +'Jan 26'!BQ24+'Feb 26'!BQ24+'March 26'!BQ24+'April 26'!BQ24+'May 26'!BQ24+'June 26'!BQ24</f>
        <v>0</v>
      </c>
      <c r="BT24" s="7">
        <f>'July 25'!BR24 + 'August 25'!BR24 +'Sept 25'!BR24 + 'Oct 25'!BR24 + 'Nov 25'!BR24+ 'Dec 25'!BR24 +'Jan 26'!BR24+'Feb 26'!BR24+'March 26'!BR24+'April 26'!BR24+'May 26'!BR24+'June 26'!BR24</f>
        <v>0</v>
      </c>
      <c r="BU24" s="7">
        <f>'July 25'!BS24 + 'August 25'!BS24 +'Sept 25'!BS24 + 'Oct 25'!BS24 + 'Nov 25'!BS24+ 'Dec 25'!BS24 +'Jan 26'!BS24+'Feb 26'!BS24+'March 26'!BS24+'April 26'!BS24+'May 26'!BS24+'June 26'!BS24</f>
        <v>0</v>
      </c>
      <c r="BV24" s="7">
        <f>'July 25'!BT24 + 'August 25'!BT24 +'Sept 25'!BT24 + 'Oct 25'!BT24 + 'Nov 25'!BT24+ 'Dec 25'!BT24 +'Jan 26'!BT24+'Feb 26'!BT24+'March 26'!BT24+'April 26'!BT24+'May 26'!BT24+'June 26'!BT24</f>
        <v>0</v>
      </c>
      <c r="BW24" s="7">
        <f>'July 25'!BU24 + 'August 25'!BU24 +'Sept 25'!BU24 + 'Oct 25'!BU24 + 'Nov 25'!BU24+ 'Dec 25'!BU24 +'Jan 26'!BU24+'Feb 26'!BU24+'March 26'!BU24+'April 26'!BU24+'May 26'!BU24+'June 26'!BU24</f>
        <v>0</v>
      </c>
      <c r="BX24" s="7">
        <f>'July 25'!BV24 + 'August 25'!BV24 +'Sept 25'!BV24 + 'Oct 25'!BV24 + 'Nov 25'!BV24+ 'Dec 25'!BV24 +'Jan 26'!BV24+'Feb 26'!BV24+'March 26'!BV24+'April 26'!BV24+'May 26'!BV24+'June 26'!BV24</f>
        <v>0</v>
      </c>
      <c r="BY24" s="7">
        <f>'July 25'!BW24 + 'August 25'!BW24 +'Sept 25'!BW24 + 'Oct 25'!BW24 + 'Nov 25'!BW24+ 'Dec 25'!BW24 +'Jan 26'!BW24+'Feb 26'!BW24+'March 26'!BW24+'April 26'!BW24+'May 26'!BW24+'June 26'!BW24</f>
        <v>1020</v>
      </c>
      <c r="BZ24" s="7">
        <f>'July 25'!BX24 + 'August 25'!BX24 +'Sept 25'!BX24 + 'Oct 25'!BX24 + 'Nov 25'!BX24+ 'Dec 25'!BX24 +'Jan 26'!BX24+'Feb 26'!BX24+'March 26'!BX24+'April 26'!BX24+'May 26'!BX24+'June 26'!BX24</f>
        <v>0</v>
      </c>
      <c r="CA24" s="7">
        <f>'July 25'!BY24 + 'August 25'!BY24 +'Sept 25'!BY24 + 'Oct 25'!BY24 + 'Nov 25'!BY24+ 'Dec 25'!BY24 +'Jan 26'!BY24+'Feb 26'!BY24+'March 26'!BY24+'April 26'!BY24+'May 26'!BY24+'June 26'!BY24</f>
        <v>0</v>
      </c>
      <c r="CB24" s="7">
        <f>'July 25'!BZ24 + 'August 25'!BZ24 +'Sept 25'!BZ24 + 'Oct 25'!BZ24 + 'Nov 25'!BZ24+ 'Dec 25'!BZ24 +'Jan 26'!BZ24+'Feb 26'!BZ24+'March 26'!BZ24+'April 26'!BZ24+'May 26'!BZ24+'June 26'!BZ24</f>
        <v>0</v>
      </c>
      <c r="CC24" s="7">
        <f>'July 25'!CA24 + 'August 25'!CA24 +'Sept 25'!CA24 + 'Oct 25'!CA24 + 'Nov 25'!CA24+ 'Dec 25'!CA24 +'Jan 26'!CA24+'Feb 26'!CA24+'March 26'!CA24+'April 26'!CA24+'May 26'!CA24+'June 26'!CA24</f>
        <v>0</v>
      </c>
      <c r="CD24" s="7">
        <f>'July 25'!CB24 + 'August 25'!CB24 +'Sept 25'!CB24 + 'Oct 25'!CB24 + 'Nov 25'!CB24+ 'Dec 25'!CB24 +'Jan 26'!CB24+'Feb 26'!CB24+'March 26'!CB24+'April 26'!CB24+'May 26'!CB24+'June 26'!CB24</f>
        <v>0</v>
      </c>
      <c r="CE24" s="7">
        <f>'July 25'!CC24 + 'August 25'!CC24 +'Sept 25'!CC24 + 'Oct 25'!CC24 + 'Nov 25'!CC24+ 'Dec 25'!CC24 +'Jan 26'!CC24+'Feb 26'!CC24+'March 26'!CC24+'April 26'!CC24+'May 26'!CC24+'June 26'!CC24</f>
        <v>0</v>
      </c>
      <c r="CF24" s="8" cm="1">
        <f t="array" ref="CF24">SUMPRODUCT(--(UPPER($F$2:$CE$2)="NET NEW"),$F24:$CE24)</f>
        <v>0</v>
      </c>
      <c r="CG24" s="3">
        <f>SUMIF($F$2:$CE$2,"Enhance Existing",$F24:$CE24)</f>
        <v>0</v>
      </c>
      <c r="CH24" s="3">
        <f>SUMIF($F$2:$CE$2,"Maintenance",$F24:$CE24)</f>
        <v>1410</v>
      </c>
    </row>
    <row r="25" spans="1:86" ht="15.95">
      <c r="A25" s="7" t="s">
        <v>0</v>
      </c>
      <c r="B25" s="7" t="s">
        <v>39</v>
      </c>
      <c r="C25" s="7" t="s">
        <v>65</v>
      </c>
      <c r="D25" s="12">
        <v>85</v>
      </c>
      <c r="E25" s="7"/>
      <c r="F25" s="7">
        <f>'July 25'!D25 + 'August 25'!D25 +'Sept 25'!D25 + 'Oct 25'!D25 + 'Nov 25'!D25+ 'Dec 25'!D25 +'Jan 26'!D25+'Feb 26'!D25+'March 26'!D25+'April 26'!D25+'May 26'!D25+'June 26'!D25</f>
        <v>0</v>
      </c>
      <c r="G25" s="7">
        <f>'July 25'!E25 + 'August 25'!E25 +'Sept 25'!E25 + 'Oct 25'!E25 + 'Nov 25'!E25+ 'Dec 25'!E25 +'Jan 26'!E25+'Feb 26'!E25+'March 26'!E25+'April 26'!E25+'May 26'!E25+'June 26'!E25</f>
        <v>0</v>
      </c>
      <c r="H25" s="7">
        <f>'July 25'!F25 + 'August 25'!F25 +'Sept 25'!F25 + 'Oct 25'!F25 + 'Nov 25'!F25+ 'Dec 25'!F25 +'Jan 26'!F25+'Feb 26'!F25+'March 26'!F25+'April 26'!F25+'May 26'!F25+'June 26'!F25</f>
        <v>0</v>
      </c>
      <c r="I25" s="7">
        <f>'July 25'!G25 + 'August 25'!G25 +'Sept 25'!G25 + 'Oct 25'!G25 + 'Nov 25'!G25+ 'Dec 25'!G25 +'Jan 26'!G25+'Feb 26'!G25+'March 26'!G25+'April 26'!G25+'May 26'!G25+'June 26'!G25</f>
        <v>0</v>
      </c>
      <c r="J25" s="7">
        <f>'July 25'!H25 + 'August 25'!H25 +'Sept 25'!H25 + 'Oct 25'!H25 + 'Nov 25'!H25+ 'Dec 25'!H25 +'Jan 26'!H25+'Feb 26'!H25+'March 26'!H25+'April 26'!H25+'May 26'!H25+'June 26'!H25</f>
        <v>0</v>
      </c>
      <c r="K25" s="7">
        <f>'July 25'!I25 + 'August 25'!I25 +'Sept 25'!I25 + 'Oct 25'!I25 + 'Nov 25'!I25+ 'Dec 25'!I25 +'Jan 26'!I25+'Feb 26'!I25+'March 26'!I25+'April 26'!I25+'May 26'!I25+'June 26'!I25</f>
        <v>0</v>
      </c>
      <c r="L25" s="7">
        <f>'July 25'!J25 + 'August 25'!J25 +'Sept 25'!J25 + 'Oct 25'!J25 + 'Nov 25'!J25+ 'Dec 25'!J25 +'Jan 26'!J25+'Feb 26'!J25+'March 26'!J25+'April 26'!J25+'May 26'!J25+'June 26'!J25</f>
        <v>0</v>
      </c>
      <c r="M25" s="7">
        <f>'July 25'!K25 + 'August 25'!K25 +'Sept 25'!K25 + 'Oct 25'!K25 + 'Nov 25'!K25+ 'Dec 25'!K25 +'Jan 26'!K25+'Feb 26'!K25+'March 26'!K25+'April 26'!K25+'May 26'!K25+'June 26'!K25</f>
        <v>0</v>
      </c>
      <c r="N25" s="7">
        <f>'July 25'!L25 + 'August 25'!L25 +'Sept 25'!L25 + 'Oct 25'!L25 + 'Nov 25'!L25+ 'Dec 25'!L25 +'Jan 26'!L25+'Feb 26'!L25+'March 26'!L25+'April 26'!L25+'May 26'!L25+'June 26'!L25</f>
        <v>0</v>
      </c>
      <c r="O25" s="7">
        <f>'July 25'!M25 + 'August 25'!M25 +'Sept 25'!M25 + 'Oct 25'!M25 + 'Nov 25'!M25+ 'Dec 25'!M25 +'Jan 26'!M25+'Feb 26'!M25+'March 26'!M25+'April 26'!M25+'May 26'!M25+'June 26'!M25</f>
        <v>0</v>
      </c>
      <c r="P25" s="7">
        <f>'July 25'!N25 + 'August 25'!N25 +'Sept 25'!N25 + 'Oct 25'!N25 + 'Nov 25'!N25+ 'Dec 25'!N25 +'Jan 26'!N25+'Feb 26'!N25+'March 26'!N25+'April 26'!N25+'May 26'!N25+'June 26'!N25</f>
        <v>0</v>
      </c>
      <c r="Q25" s="7">
        <f>'July 25'!O25 + 'August 25'!O25 +'Sept 25'!O25 + 'Oct 25'!O25 + 'Nov 25'!O25+ 'Dec 25'!O25 +'Jan 26'!O25+'Feb 26'!O25+'March 26'!O25+'April 26'!O25+'May 26'!O25+'June 26'!O25</f>
        <v>0</v>
      </c>
      <c r="R25" s="7">
        <f>'July 25'!P25 + 'August 25'!P25 +'Sept 25'!P25 + 'Oct 25'!P25 + 'Nov 25'!P25+ 'Dec 25'!P25 +'Jan 26'!P25+'Feb 26'!P25+'March 26'!P25+'April 26'!P25+'May 26'!P25+'June 26'!P25</f>
        <v>0</v>
      </c>
      <c r="S25" s="7">
        <f>'July 25'!Q25 + 'August 25'!Q25 +'Sept 25'!Q25 + 'Oct 25'!Q25 + 'Nov 25'!Q25+ 'Dec 25'!Q25 +'Jan 26'!Q25+'Feb 26'!Q25+'March 26'!Q25+'April 26'!Q25+'May 26'!Q25+'June 26'!Q25</f>
        <v>0</v>
      </c>
      <c r="T25" s="7">
        <f>'July 25'!R25 + 'August 25'!R25 +'Sept 25'!R25 + 'Oct 25'!R25 + 'Nov 25'!R25+ 'Dec 25'!R25 +'Jan 26'!R25+'Feb 26'!R25+'March 26'!R25+'April 26'!R25+'May 26'!R25+'June 26'!R25</f>
        <v>0</v>
      </c>
      <c r="U25" s="7">
        <f>'July 25'!S25 + 'August 25'!S25 +'Sept 25'!S25 + 'Oct 25'!S25 + 'Nov 25'!S25+ 'Dec 25'!S25 +'Jan 26'!S25+'Feb 26'!S25+'March 26'!S25+'April 26'!S25+'May 26'!S25+'June 26'!S25</f>
        <v>0</v>
      </c>
      <c r="V25" s="7">
        <f>'July 25'!T25 + 'August 25'!T25 +'Sept 25'!T25 + 'Oct 25'!T25 + 'Nov 25'!T25+ 'Dec 25'!T25 +'Jan 26'!T25+'Feb 26'!T25+'March 26'!T25+'April 26'!T25+'May 26'!T25+'June 26'!T25</f>
        <v>0</v>
      </c>
      <c r="W25" s="7">
        <f>'July 25'!U25 + 'August 25'!U25 +'Sept 25'!U25 + 'Oct 25'!U25 + 'Nov 25'!U25+ 'Dec 25'!U25 +'Jan 26'!U25+'Feb 26'!U25+'March 26'!U25+'April 26'!U25+'May 26'!U25+'June 26'!U25</f>
        <v>0</v>
      </c>
      <c r="X25" s="7">
        <f>'July 25'!V25 + 'August 25'!V25 +'Sept 25'!V25 + 'Oct 25'!V25 + 'Nov 25'!V25+ 'Dec 25'!V25 +'Jan 26'!V25+'Feb 26'!V25+'March 26'!V25+'April 26'!V25+'May 26'!V25+'June 26'!V25</f>
        <v>0</v>
      </c>
      <c r="Y25" s="7">
        <f>'July 25'!W25 + 'August 25'!W25 +'Sept 25'!W25 + 'Oct 25'!W25 + 'Nov 25'!W25+ 'Dec 25'!W25 +'Jan 26'!W25+'Feb 26'!W25+'March 26'!W25+'April 26'!W25+'May 26'!W25+'June 26'!W25</f>
        <v>0</v>
      </c>
      <c r="Z25" s="7">
        <f>'July 25'!X25 + 'August 25'!X25 +'Sept 25'!X25 + 'Oct 25'!X25 + 'Nov 25'!X25+ 'Dec 25'!X25 +'Jan 26'!X25+'Feb 26'!X25+'March 26'!X25+'April 26'!X25+'May 26'!X25+'June 26'!X25</f>
        <v>0</v>
      </c>
      <c r="AA25" s="7">
        <f>'July 25'!Y25 + 'August 25'!Y25 +'Sept 25'!Y25 + 'Oct 25'!Y25 + 'Nov 25'!Y25+ 'Dec 25'!Y25 +'Jan 26'!Y25+'Feb 26'!Y25+'March 26'!Y25+'April 26'!Y25+'May 26'!Y25+'June 26'!Y25</f>
        <v>0</v>
      </c>
      <c r="AB25" s="7">
        <f>'July 25'!Z25 + 'August 25'!Z25 +'Sept 25'!Z25 + 'Oct 25'!Z25 + 'Nov 25'!Z25+ 'Dec 25'!Z25 +'Jan 26'!Z25+'Feb 26'!Z25+'March 26'!Z25+'April 26'!Z25+'May 26'!Z25+'June 26'!Z25</f>
        <v>0</v>
      </c>
      <c r="AC25" s="7">
        <f>'July 25'!AA25 + 'August 25'!AA25 +'Sept 25'!AA25 + 'Oct 25'!AA25 + 'Nov 25'!AA25+ 'Dec 25'!AA25 +'Jan 26'!AA25+'Feb 26'!AA25+'March 26'!AA25+'April 26'!AA25+'May 26'!AA25+'June 26'!AA25</f>
        <v>0</v>
      </c>
      <c r="AD25" s="7">
        <f>'July 25'!AB25 + 'August 25'!AB25 +'Sept 25'!AB25 + 'Oct 25'!AB25 + 'Nov 25'!AB25+ 'Dec 25'!AB25 +'Jan 26'!AB25+'Feb 26'!AB25+'March 26'!AB25+'April 26'!AB25+'May 26'!AB25+'June 26'!AB25</f>
        <v>0</v>
      </c>
      <c r="AE25" s="7">
        <f>'July 25'!AC25 + 'August 25'!AC25 +'Sept 25'!AC25 + 'Oct 25'!AC25 + 'Nov 25'!AC25+ 'Dec 25'!AC25 +'Jan 26'!AC25+'Feb 26'!AC25+'March 26'!AC25+'April 26'!AC25+'May 26'!AC25+'June 26'!AC25</f>
        <v>0</v>
      </c>
      <c r="AF25" s="7">
        <f>'July 25'!AD25 + 'August 25'!AD25 +'Sept 25'!AD25 + 'Oct 25'!AD25 + 'Nov 25'!AD25+ 'Dec 25'!AD25 +'Jan 26'!AD25+'Feb 26'!AD25+'March 26'!AD25+'April 26'!AD25+'May 26'!AD25+'June 26'!AD25</f>
        <v>0</v>
      </c>
      <c r="AG25" s="7">
        <f>'July 25'!AE25 + 'August 25'!AE25 +'Sept 25'!AE25 + 'Oct 25'!AE25 + 'Nov 25'!AE25+ 'Dec 25'!AE25 +'Jan 26'!AE25+'Feb 26'!AE25+'March 26'!AE25+'April 26'!AE25+'May 26'!AE25+'June 26'!AE25</f>
        <v>0</v>
      </c>
      <c r="AH25" s="7">
        <f>'July 25'!AF25 + 'August 25'!AF25 +'Sept 25'!AF25 + 'Oct 25'!AF25 + 'Nov 25'!AF25+ 'Dec 25'!AF25 +'Jan 26'!AF25+'Feb 26'!AF25+'March 26'!AF25+'April 26'!AF25+'May 26'!AF25+'June 26'!AF25</f>
        <v>0</v>
      </c>
      <c r="AI25" s="7">
        <f>'July 25'!AG25 + 'August 25'!AG25 +'Sept 25'!AG25 + 'Oct 25'!AG25 + 'Nov 25'!AG25+ 'Dec 25'!AG25 +'Jan 26'!AG25+'Feb 26'!AG25+'March 26'!AG25+'April 26'!AG25+'May 26'!AG25+'June 26'!AG25</f>
        <v>0</v>
      </c>
      <c r="AJ25" s="7">
        <f>'July 25'!AH25 + 'August 25'!AH25 +'Sept 25'!AH25 + 'Oct 25'!AH25 + 'Nov 25'!AH25+ 'Dec 25'!AH25 +'Jan 26'!AH25+'Feb 26'!AH25+'March 26'!AH25+'April 26'!AH25+'May 26'!AH25+'June 26'!AH25</f>
        <v>0</v>
      </c>
      <c r="AK25" s="7">
        <f>'July 25'!AI25 + 'August 25'!AI25 +'Sept 25'!AI25 + 'Oct 25'!AI25 + 'Nov 25'!AI25+ 'Dec 25'!AI25 +'Jan 26'!AI25+'Feb 26'!AI25+'March 26'!AI25+'April 26'!AI25+'May 26'!AI25+'June 26'!AI25</f>
        <v>0</v>
      </c>
      <c r="AL25" s="7">
        <f>'July 25'!AJ25 + 'August 25'!AJ25 +'Sept 25'!AJ25 + 'Oct 25'!AJ25 + 'Nov 25'!AJ25+ 'Dec 25'!AJ25 +'Jan 26'!AJ25+'Feb 26'!AJ25+'March 26'!AJ25+'April 26'!AJ25+'May 26'!AJ25+'June 26'!AJ25</f>
        <v>0</v>
      </c>
      <c r="AM25" s="7">
        <f>'July 25'!AK25 + 'August 25'!AK25 +'Sept 25'!AK25 + 'Oct 25'!AK25 + 'Nov 25'!AK25+ 'Dec 25'!AK25 +'Jan 26'!AK25+'Feb 26'!AK25+'March 26'!AK25+'April 26'!AK25+'May 26'!AK25+'June 26'!AK25</f>
        <v>0</v>
      </c>
      <c r="AN25" s="7">
        <f>'July 25'!AL25 + 'August 25'!AL25 +'Sept 25'!AL25 + 'Oct 25'!AL25 + 'Nov 25'!AL25+ 'Dec 25'!AL25 +'Jan 26'!AL25+'Feb 26'!AL25+'March 26'!AL25+'April 26'!AL25+'May 26'!AL25+'June 26'!AL25</f>
        <v>0</v>
      </c>
      <c r="AO25" s="7">
        <f>'July 25'!AM25 + 'August 25'!AM25 +'Sept 25'!AM25 + 'Oct 25'!AM25 + 'Nov 25'!AM25+ 'Dec 25'!AM25 +'Jan 26'!AM25+'Feb 26'!AM25+'March 26'!AM25+'April 26'!AM25+'May 26'!AM25+'June 26'!AM25</f>
        <v>1440</v>
      </c>
      <c r="AP25" s="7">
        <f>'July 25'!AN25 + 'August 25'!AN25 +'Sept 25'!AN25 + 'Oct 25'!AN25 + 'Nov 25'!AN25+ 'Dec 25'!AN25 +'Jan 26'!AN25+'Feb 26'!AN25+'March 26'!AN25+'April 26'!AN25+'May 26'!AN25+'June 26'!AN25</f>
        <v>0</v>
      </c>
      <c r="AQ25" s="7">
        <f>'July 25'!AO25 + 'August 25'!AO25 +'Sept 25'!AO25 + 'Oct 25'!AO25 + 'Nov 25'!AO25+ 'Dec 25'!AO25 +'Jan 26'!AO25+'Feb 26'!AO25+'March 26'!AO25+'April 26'!AO25+'May 26'!AO25+'June 26'!AO25</f>
        <v>0</v>
      </c>
      <c r="AR25" s="7">
        <f>'July 25'!AP25 + 'August 25'!AP25 +'Sept 25'!AP25 + 'Oct 25'!AP25 + 'Nov 25'!AP25+ 'Dec 25'!AP25 +'Jan 26'!AP25+'Feb 26'!AP25+'March 26'!AP25+'April 26'!AP25+'May 26'!AP25+'June 26'!AP25</f>
        <v>0</v>
      </c>
      <c r="AS25" s="7">
        <f>'July 25'!AQ25 + 'August 25'!AQ25 +'Sept 25'!AQ25 + 'Oct 25'!AQ25 + 'Nov 25'!AQ25+ 'Dec 25'!AQ25 +'Jan 26'!AQ25+'Feb 26'!AQ25+'March 26'!AQ25+'April 26'!AQ25+'May 26'!AQ25+'June 26'!AQ25</f>
        <v>0</v>
      </c>
      <c r="AT25" s="7">
        <f>'July 25'!AR25 + 'August 25'!AR25 +'Sept 25'!AR25 + 'Oct 25'!AR25 + 'Nov 25'!AR25+ 'Dec 25'!AR25 +'Jan 26'!AR25+'Feb 26'!AR25+'March 26'!AR25+'April 26'!AR25+'May 26'!AR25+'June 26'!AR25</f>
        <v>0</v>
      </c>
      <c r="AU25" s="7">
        <f>'July 25'!AS25 + 'August 25'!AS25 +'Sept 25'!AS25 + 'Oct 25'!AS25 + 'Nov 25'!AS25+ 'Dec 25'!AS25 +'Jan 26'!AS25+'Feb 26'!AS25+'March 26'!AS25+'April 26'!AS25+'May 26'!AS25+'June 26'!AS25</f>
        <v>0</v>
      </c>
      <c r="AV25" s="7">
        <f>'July 25'!AT25 + 'August 25'!AT25 +'Sept 25'!AT25 + 'Oct 25'!AT25 + 'Nov 25'!AT25+ 'Dec 25'!AT25 +'Jan 26'!AT25+'Feb 26'!AT25+'March 26'!AT25+'April 26'!AT25+'May 26'!AT25+'June 26'!AT25</f>
        <v>0</v>
      </c>
      <c r="AW25" s="7">
        <f>'July 25'!AU25 + 'August 25'!AU25 +'Sept 25'!AU25 + 'Oct 25'!AU25 + 'Nov 25'!AU25+ 'Dec 25'!AU25 +'Jan 26'!AU25+'Feb 26'!AU25+'March 26'!AU25+'April 26'!AU25+'May 26'!AU25+'June 26'!AU25</f>
        <v>0</v>
      </c>
      <c r="AX25" s="7">
        <f>'July 25'!AV25 + 'August 25'!AV25 +'Sept 25'!AV25 + 'Oct 25'!AV25 + 'Nov 25'!AV25+ 'Dec 25'!AV25 +'Jan 26'!AV25+'Feb 26'!AV25+'March 26'!AV25+'April 26'!AV25+'May 26'!AV25+'June 26'!AV25</f>
        <v>0</v>
      </c>
      <c r="AY25" s="7">
        <f>'July 25'!AW25 + 'August 25'!AW25 +'Sept 25'!AW25 + 'Oct 25'!AW25 + 'Nov 25'!AW25+ 'Dec 25'!AW25 +'Jan 26'!AW25+'Feb 26'!AW25+'March 26'!AW25+'April 26'!AW25+'May 26'!AW25+'June 26'!AW25</f>
        <v>0</v>
      </c>
      <c r="AZ25" s="7">
        <f>'July 25'!AX25 + 'August 25'!AX25 +'Sept 25'!AX25 + 'Oct 25'!AX25 + 'Nov 25'!AX25+ 'Dec 25'!AX25 +'Jan 26'!AX25+'Feb 26'!AX25+'March 26'!AX25+'April 26'!AX25+'May 26'!AX25+'June 26'!AX25</f>
        <v>0</v>
      </c>
      <c r="BA25" s="7">
        <f>'July 25'!AY25 + 'August 25'!AY25 +'Sept 25'!AY25 + 'Oct 25'!AY25 + 'Nov 25'!AY25+ 'Dec 25'!AY25 +'Jan 26'!AY25+'Feb 26'!AY25+'March 26'!AY25+'April 26'!AY25+'May 26'!AY25+'June 26'!AY25</f>
        <v>0</v>
      </c>
      <c r="BB25" s="7">
        <f>'July 25'!AZ25 + 'August 25'!AZ25 +'Sept 25'!AZ25 + 'Oct 25'!AZ25 + 'Nov 25'!AZ25+ 'Dec 25'!AZ25 +'Jan 26'!AZ25+'Feb 26'!AZ25+'March 26'!AZ25+'April 26'!AZ25+'May 26'!AZ25+'June 26'!AZ25</f>
        <v>0</v>
      </c>
      <c r="BC25" s="7">
        <f>'July 25'!BA25 + 'August 25'!BA25 +'Sept 25'!BA25 + 'Oct 25'!BA25 + 'Nov 25'!BA25+ 'Dec 25'!BA25 +'Jan 26'!BA25+'Feb 26'!BA25+'March 26'!BA25+'April 26'!BA25+'May 26'!BA25+'June 26'!BA25</f>
        <v>0</v>
      </c>
      <c r="BD25" s="7">
        <f>'July 25'!BB25 + 'August 25'!BB25 +'Sept 25'!BB25 + 'Oct 25'!BB25 + 'Nov 25'!BB25+ 'Dec 25'!BB25 +'Jan 26'!BB25+'Feb 26'!BB25+'March 26'!BB25+'April 26'!BB25+'May 26'!BB25+'June 26'!BB25</f>
        <v>0</v>
      </c>
      <c r="BE25" s="7">
        <f>'July 25'!BC25 + 'August 25'!BC25 +'Sept 25'!BC25 + 'Oct 25'!BC25 + 'Nov 25'!BC25+ 'Dec 25'!BC25 +'Jan 26'!BC25+'Feb 26'!BC25+'March 26'!BC25+'April 26'!BC25+'May 26'!BC25+'June 26'!BC25</f>
        <v>0</v>
      </c>
      <c r="BF25" s="7">
        <f>'July 25'!BD25 + 'August 25'!BD25 +'Sept 25'!BD25 + 'Oct 25'!BD25 + 'Nov 25'!BD25+ 'Dec 25'!BD25 +'Jan 26'!BD25+'Feb 26'!BD25+'March 26'!BD25+'April 26'!BD25+'May 26'!BD25+'June 26'!BD25</f>
        <v>0</v>
      </c>
      <c r="BG25" s="7">
        <f>'July 25'!BE25 + 'August 25'!BE25 +'Sept 25'!BE25 + 'Oct 25'!BE25 + 'Nov 25'!BE25+ 'Dec 25'!BE25 +'Jan 26'!BE25+'Feb 26'!BE25+'March 26'!BE25+'April 26'!BE25+'May 26'!BE25+'June 26'!BE25</f>
        <v>0</v>
      </c>
      <c r="BH25" s="7">
        <f>'July 25'!BF25 + 'August 25'!BF25 +'Sept 25'!BF25 + 'Oct 25'!BF25 + 'Nov 25'!BF25+ 'Dec 25'!BF25 +'Jan 26'!BF25+'Feb 26'!BF25+'March 26'!BF25+'April 26'!BF25+'May 26'!BF25+'June 26'!BF25</f>
        <v>0</v>
      </c>
      <c r="BI25" s="7">
        <f>'July 25'!BG25 + 'August 25'!BG25 +'Sept 25'!BG25 + 'Oct 25'!BG25 + 'Nov 25'!BG25+ 'Dec 25'!BG25 +'Jan 26'!BG25+'Feb 26'!BG25+'March 26'!BG25+'April 26'!BG25+'May 26'!BG25+'June 26'!BG25</f>
        <v>0</v>
      </c>
      <c r="BJ25" s="7">
        <f>'July 25'!BH25 + 'August 25'!BH25 +'Sept 25'!BH25 + 'Oct 25'!BH25 + 'Nov 25'!BH25+ 'Dec 25'!BH25 +'Jan 26'!BH25+'Feb 26'!BH25+'March 26'!BH25+'April 26'!BH25+'May 26'!BH25+'June 26'!BH25</f>
        <v>0</v>
      </c>
      <c r="BK25" s="7">
        <f>'July 25'!BI25 + 'August 25'!BI25 +'Sept 25'!BI25 + 'Oct 25'!BI25 + 'Nov 25'!BI25+ 'Dec 25'!BI25 +'Jan 26'!BI25+'Feb 26'!BI25+'March 26'!BI25+'April 26'!BI25+'May 26'!BI25+'June 26'!BI25</f>
        <v>0</v>
      </c>
      <c r="BL25" s="7">
        <f>'July 25'!BJ25 + 'August 25'!BJ25 +'Sept 25'!BJ25 + 'Oct 25'!BJ25 + 'Nov 25'!BJ25+ 'Dec 25'!BJ25 +'Jan 26'!BJ25+'Feb 26'!BJ25+'March 26'!BJ25+'April 26'!BJ25+'May 26'!BJ25+'June 26'!BJ25</f>
        <v>0</v>
      </c>
      <c r="BM25" s="7">
        <f>'July 25'!BK25 + 'August 25'!BK25 +'Sept 25'!BK25 + 'Oct 25'!BK25 + 'Nov 25'!BK25+ 'Dec 25'!BK25 +'Jan 26'!BK25+'Feb 26'!BK25+'March 26'!BK25+'April 26'!BK25+'May 26'!BK25+'June 26'!BK25</f>
        <v>0</v>
      </c>
      <c r="BN25" s="7">
        <f>'July 25'!BL25 + 'August 25'!BL25 +'Sept 25'!BL25 + 'Oct 25'!BL25 + 'Nov 25'!BL25+ 'Dec 25'!BL25 +'Jan 26'!BL25+'Feb 26'!BL25+'March 26'!BL25+'April 26'!BL25+'May 26'!BL25+'June 26'!BL25</f>
        <v>0</v>
      </c>
      <c r="BO25" s="7">
        <f>'July 25'!BM25 + 'August 25'!BM25 +'Sept 25'!BM25 + 'Oct 25'!BM25 + 'Nov 25'!BM25+ 'Dec 25'!BM25 +'Jan 26'!BM25+'Feb 26'!BM25+'March 26'!BM25+'April 26'!BM25+'May 26'!BM25+'June 26'!BM25</f>
        <v>0</v>
      </c>
      <c r="BP25" s="7">
        <f>'July 25'!BN25 + 'August 25'!BN25 +'Sept 25'!BN25 + 'Oct 25'!BN25 + 'Nov 25'!BN25+ 'Dec 25'!BN25 +'Jan 26'!BN25+'Feb 26'!BN25+'March 26'!BN25+'April 26'!BN25+'May 26'!BN25+'June 26'!BN25</f>
        <v>0</v>
      </c>
      <c r="BQ25" s="7">
        <f>'July 25'!BO25 + 'August 25'!BO25 +'Sept 25'!BO25 + 'Oct 25'!BO25 + 'Nov 25'!BO25+ 'Dec 25'!BO25 +'Jan 26'!BO25+'Feb 26'!BO25+'March 26'!BO25+'April 26'!BO25+'May 26'!BO25+'June 26'!BO25</f>
        <v>0</v>
      </c>
      <c r="BR25" s="7">
        <f>'July 25'!BP25 + 'August 25'!BP25 +'Sept 25'!BP25 + 'Oct 25'!BP25 + 'Nov 25'!BP25+ 'Dec 25'!BP25 +'Jan 26'!BP25+'Feb 26'!BP25+'March 26'!BP25+'April 26'!BP25+'May 26'!BP25+'June 26'!BP25</f>
        <v>0</v>
      </c>
      <c r="BS25" s="7">
        <f>'July 25'!BQ25 + 'August 25'!BQ25 +'Sept 25'!BQ25 + 'Oct 25'!BQ25 + 'Nov 25'!BQ25+ 'Dec 25'!BQ25 +'Jan 26'!BQ25+'Feb 26'!BQ25+'March 26'!BQ25+'April 26'!BQ25+'May 26'!BQ25+'June 26'!BQ25</f>
        <v>0</v>
      </c>
      <c r="BT25" s="7">
        <f>'July 25'!BR25 + 'August 25'!BR25 +'Sept 25'!BR25 + 'Oct 25'!BR25 + 'Nov 25'!BR25+ 'Dec 25'!BR25 +'Jan 26'!BR25+'Feb 26'!BR25+'March 26'!BR25+'April 26'!BR25+'May 26'!BR25+'June 26'!BR25</f>
        <v>0</v>
      </c>
      <c r="BU25" s="7">
        <f>'July 25'!BS25 + 'August 25'!BS25 +'Sept 25'!BS25 + 'Oct 25'!BS25 + 'Nov 25'!BS25+ 'Dec 25'!BS25 +'Jan 26'!BS25+'Feb 26'!BS25+'March 26'!BS25+'April 26'!BS25+'May 26'!BS25+'June 26'!BS25</f>
        <v>0</v>
      </c>
      <c r="BV25" s="7">
        <f>'July 25'!BT25 + 'August 25'!BT25 +'Sept 25'!BT25 + 'Oct 25'!BT25 + 'Nov 25'!BT25+ 'Dec 25'!BT25 +'Jan 26'!BT25+'Feb 26'!BT25+'March 26'!BT25+'April 26'!BT25+'May 26'!BT25+'June 26'!BT25</f>
        <v>0</v>
      </c>
      <c r="BW25" s="7">
        <f>'July 25'!BU25 + 'August 25'!BU25 +'Sept 25'!BU25 + 'Oct 25'!BU25 + 'Nov 25'!BU25+ 'Dec 25'!BU25 +'Jan 26'!BU25+'Feb 26'!BU25+'March 26'!BU25+'April 26'!BU25+'May 26'!BU25+'June 26'!BU25</f>
        <v>0</v>
      </c>
      <c r="BX25" s="7">
        <f>'July 25'!BV25 + 'August 25'!BV25 +'Sept 25'!BV25 + 'Oct 25'!BV25 + 'Nov 25'!BV25+ 'Dec 25'!BV25 +'Jan 26'!BV25+'Feb 26'!BV25+'March 26'!BV25+'April 26'!BV25+'May 26'!BV25+'June 26'!BV25</f>
        <v>0</v>
      </c>
      <c r="BY25" s="7">
        <f>'July 25'!BW25 + 'August 25'!BW25 +'Sept 25'!BW25 + 'Oct 25'!BW25 + 'Nov 25'!BW25+ 'Dec 25'!BW25 +'Jan 26'!BW25+'Feb 26'!BW25+'March 26'!BW25+'April 26'!BW25+'May 26'!BW25+'June 26'!BW25</f>
        <v>0</v>
      </c>
      <c r="BZ25" s="7">
        <f>'July 25'!BX25 + 'August 25'!BX25 +'Sept 25'!BX25 + 'Oct 25'!BX25 + 'Nov 25'!BX25+ 'Dec 25'!BX25 +'Jan 26'!BX25+'Feb 26'!BX25+'March 26'!BX25+'April 26'!BX25+'May 26'!BX25+'June 26'!BX25</f>
        <v>0</v>
      </c>
      <c r="CA25" s="7">
        <f>'July 25'!BY25 + 'August 25'!BY25 +'Sept 25'!BY25 + 'Oct 25'!BY25 + 'Nov 25'!BY25+ 'Dec 25'!BY25 +'Jan 26'!BY25+'Feb 26'!BY25+'March 26'!BY25+'April 26'!BY25+'May 26'!BY25+'June 26'!BY25</f>
        <v>0</v>
      </c>
      <c r="CB25" s="7">
        <f>'July 25'!BZ25 + 'August 25'!BZ25 +'Sept 25'!BZ25 + 'Oct 25'!BZ25 + 'Nov 25'!BZ25+ 'Dec 25'!BZ25 +'Jan 26'!BZ25+'Feb 26'!BZ25+'March 26'!BZ25+'April 26'!BZ25+'May 26'!BZ25+'June 26'!BZ25</f>
        <v>0</v>
      </c>
      <c r="CC25" s="7">
        <f>'July 25'!CA25 + 'August 25'!CA25 +'Sept 25'!CA25 + 'Oct 25'!CA25 + 'Nov 25'!CA25+ 'Dec 25'!CA25 +'Jan 26'!CA25+'Feb 26'!CA25+'March 26'!CA25+'April 26'!CA25+'May 26'!CA25+'June 26'!CA25</f>
        <v>0</v>
      </c>
      <c r="CD25" s="7">
        <f>'July 25'!CB25 + 'August 25'!CB25 +'Sept 25'!CB25 + 'Oct 25'!CB25 + 'Nov 25'!CB25+ 'Dec 25'!CB25 +'Jan 26'!CB25+'Feb 26'!CB25+'March 26'!CB25+'April 26'!CB25+'May 26'!CB25+'June 26'!CB25</f>
        <v>0</v>
      </c>
      <c r="CE25" s="7">
        <f>'July 25'!CC25 + 'August 25'!CC25 +'Sept 25'!CC25 + 'Oct 25'!CC25 + 'Nov 25'!CC25+ 'Dec 25'!CC25 +'Jan 26'!CC25+'Feb 26'!CC25+'March 26'!CC25+'April 26'!CC25+'May 26'!CC25+'June 26'!CC25</f>
        <v>0</v>
      </c>
      <c r="CF25" s="8" cm="1">
        <f t="array" ref="CF25">SUMPRODUCT(--(UPPER($F$2:$CE$2)="NET NEW"),$F25:$CE25)</f>
        <v>0</v>
      </c>
      <c r="CG25" s="3">
        <f>SUMIF($F$2:$CE$2,"Enhance Existing",$F25:$CE25)</f>
        <v>0</v>
      </c>
      <c r="CH25" s="3">
        <f>SUMIF($F$2:$CE$2,"Maintenance",$F25:$CE25)</f>
        <v>1440</v>
      </c>
    </row>
    <row r="26" spans="1:86" ht="15.95">
      <c r="A26" s="7" t="s">
        <v>66</v>
      </c>
      <c r="B26" s="7" t="s">
        <v>43</v>
      </c>
      <c r="C26" s="7" t="s">
        <v>67</v>
      </c>
      <c r="D26" s="12"/>
      <c r="E26" s="7"/>
      <c r="F26" s="7">
        <f>'July 25'!D26 + 'August 25'!D26 +'Sept 25'!D26 + 'Oct 25'!D26 + 'Nov 25'!D26+ 'Dec 25'!D26 +'Jan 26'!D26+'Feb 26'!D26+'March 26'!D26+'April 26'!D26+'May 26'!D26+'June 26'!D26</f>
        <v>0</v>
      </c>
      <c r="G26" s="7">
        <f>'July 25'!E26 + 'August 25'!E26 +'Sept 25'!E26 + 'Oct 25'!E26 + 'Nov 25'!E26+ 'Dec 25'!E26 +'Jan 26'!E26+'Feb 26'!E26+'March 26'!E26+'April 26'!E26+'May 26'!E26+'June 26'!E26</f>
        <v>0</v>
      </c>
      <c r="H26" s="7">
        <f>'July 25'!F26 + 'August 25'!F26 +'Sept 25'!F26 + 'Oct 25'!F26 + 'Nov 25'!F26+ 'Dec 25'!F26 +'Jan 26'!F26+'Feb 26'!F26+'March 26'!F26+'April 26'!F26+'May 26'!F26+'June 26'!F26</f>
        <v>0</v>
      </c>
      <c r="I26" s="7">
        <f>'July 25'!G26 + 'August 25'!G26 +'Sept 25'!G26 + 'Oct 25'!G26 + 'Nov 25'!G26+ 'Dec 25'!G26 +'Jan 26'!G26+'Feb 26'!G26+'March 26'!G26+'April 26'!G26+'May 26'!G26+'June 26'!G26</f>
        <v>1000</v>
      </c>
      <c r="J26" s="7">
        <f>'July 25'!H26 + 'August 25'!H26 +'Sept 25'!H26 + 'Oct 25'!H26 + 'Nov 25'!H26+ 'Dec 25'!H26 +'Jan 26'!H26+'Feb 26'!H26+'March 26'!H26+'April 26'!H26+'May 26'!H26+'June 26'!H26</f>
        <v>0</v>
      </c>
      <c r="K26" s="7">
        <f>'July 25'!I26 + 'August 25'!I26 +'Sept 25'!I26 + 'Oct 25'!I26 + 'Nov 25'!I26+ 'Dec 25'!I26 +'Jan 26'!I26+'Feb 26'!I26+'March 26'!I26+'April 26'!I26+'May 26'!I26+'June 26'!I26</f>
        <v>360</v>
      </c>
      <c r="L26" s="7">
        <f>'July 25'!J26 + 'August 25'!J26 +'Sept 25'!J26 + 'Oct 25'!J26 + 'Nov 25'!J26+ 'Dec 25'!J26 +'Jan 26'!J26+'Feb 26'!J26+'March 26'!J26+'April 26'!J26+'May 26'!J26+'June 26'!J26</f>
        <v>0</v>
      </c>
      <c r="M26" s="7">
        <f>'July 25'!K26 + 'August 25'!K26 +'Sept 25'!K26 + 'Oct 25'!K26 + 'Nov 25'!K26+ 'Dec 25'!K26 +'Jan 26'!K26+'Feb 26'!K26+'March 26'!K26+'April 26'!K26+'May 26'!K26+'June 26'!K26</f>
        <v>0</v>
      </c>
      <c r="N26" s="7">
        <f>'July 25'!L26 + 'August 25'!L26 +'Sept 25'!L26 + 'Oct 25'!L26 + 'Nov 25'!L26+ 'Dec 25'!L26 +'Jan 26'!L26+'Feb 26'!L26+'March 26'!L26+'April 26'!L26+'May 26'!L26+'June 26'!L26</f>
        <v>0</v>
      </c>
      <c r="O26" s="7">
        <f>'July 25'!M26 + 'August 25'!M26 +'Sept 25'!M26 + 'Oct 25'!M26 + 'Nov 25'!M26+ 'Dec 25'!M26 +'Jan 26'!M26+'Feb 26'!M26+'March 26'!M26+'April 26'!M26+'May 26'!M26+'June 26'!M26</f>
        <v>0</v>
      </c>
      <c r="P26" s="7">
        <f>'July 25'!N26 + 'August 25'!N26 +'Sept 25'!N26 + 'Oct 25'!N26 + 'Nov 25'!N26+ 'Dec 25'!N26 +'Jan 26'!N26+'Feb 26'!N26+'March 26'!N26+'April 26'!N26+'May 26'!N26+'June 26'!N26</f>
        <v>0</v>
      </c>
      <c r="Q26" s="7">
        <f>'July 25'!O26 + 'August 25'!O26 +'Sept 25'!O26 + 'Oct 25'!O26 + 'Nov 25'!O26+ 'Dec 25'!O26 +'Jan 26'!O26+'Feb 26'!O26+'March 26'!O26+'April 26'!O26+'May 26'!O26+'June 26'!O26</f>
        <v>0</v>
      </c>
      <c r="R26" s="7">
        <f>'July 25'!P26 + 'August 25'!P26 +'Sept 25'!P26 + 'Oct 25'!P26 + 'Nov 25'!P26+ 'Dec 25'!P26 +'Jan 26'!P26+'Feb 26'!P26+'March 26'!P26+'April 26'!P26+'May 26'!P26+'June 26'!P26</f>
        <v>0</v>
      </c>
      <c r="S26" s="7">
        <f>'July 25'!Q26 + 'August 25'!Q26 +'Sept 25'!Q26 + 'Oct 25'!Q26 + 'Nov 25'!Q26+ 'Dec 25'!Q26 +'Jan 26'!Q26+'Feb 26'!Q26+'March 26'!Q26+'April 26'!Q26+'May 26'!Q26+'June 26'!Q26</f>
        <v>0</v>
      </c>
      <c r="T26" s="7">
        <f>'July 25'!R26 + 'August 25'!R26 +'Sept 25'!R26 + 'Oct 25'!R26 + 'Nov 25'!R26+ 'Dec 25'!R26 +'Jan 26'!R26+'Feb 26'!R26+'March 26'!R26+'April 26'!R26+'May 26'!R26+'June 26'!R26</f>
        <v>0</v>
      </c>
      <c r="U26" s="7">
        <f>'July 25'!S26 + 'August 25'!S26 +'Sept 25'!S26 + 'Oct 25'!S26 + 'Nov 25'!S26+ 'Dec 25'!S26 +'Jan 26'!S26+'Feb 26'!S26+'March 26'!S26+'April 26'!S26+'May 26'!S26+'June 26'!S26</f>
        <v>0</v>
      </c>
      <c r="V26" s="7">
        <f>'July 25'!T26 + 'August 25'!T26 +'Sept 25'!T26 + 'Oct 25'!T26 + 'Nov 25'!T26+ 'Dec 25'!T26 +'Jan 26'!T26+'Feb 26'!T26+'March 26'!T26+'April 26'!T26+'May 26'!T26+'June 26'!T26</f>
        <v>0</v>
      </c>
      <c r="W26" s="7">
        <f>'July 25'!U26 + 'August 25'!U26 +'Sept 25'!U26 + 'Oct 25'!U26 + 'Nov 25'!U26+ 'Dec 25'!U26 +'Jan 26'!U26+'Feb 26'!U26+'March 26'!U26+'April 26'!U26+'May 26'!U26+'June 26'!U26</f>
        <v>0</v>
      </c>
      <c r="X26" s="7">
        <f>'July 25'!V26 + 'August 25'!V26 +'Sept 25'!V26 + 'Oct 25'!V26 + 'Nov 25'!V26+ 'Dec 25'!V26 +'Jan 26'!V26+'Feb 26'!V26+'March 26'!V26+'April 26'!V26+'May 26'!V26+'June 26'!V26</f>
        <v>0</v>
      </c>
      <c r="Y26" s="7">
        <f>'July 25'!W26 + 'August 25'!W26 +'Sept 25'!W26 + 'Oct 25'!W26 + 'Nov 25'!W26+ 'Dec 25'!W26 +'Jan 26'!W26+'Feb 26'!W26+'March 26'!W26+'April 26'!W26+'May 26'!W26+'June 26'!W26</f>
        <v>0</v>
      </c>
      <c r="Z26" s="7">
        <f>'July 25'!X26 + 'August 25'!X26 +'Sept 25'!X26 + 'Oct 25'!X26 + 'Nov 25'!X26+ 'Dec 25'!X26 +'Jan 26'!X26+'Feb 26'!X26+'March 26'!X26+'April 26'!X26+'May 26'!X26+'June 26'!X26</f>
        <v>0</v>
      </c>
      <c r="AA26" s="7">
        <f>'July 25'!Y26 + 'August 25'!Y26 +'Sept 25'!Y26 + 'Oct 25'!Y26 + 'Nov 25'!Y26+ 'Dec 25'!Y26 +'Jan 26'!Y26+'Feb 26'!Y26+'March 26'!Y26+'April 26'!Y26+'May 26'!Y26+'June 26'!Y26</f>
        <v>0</v>
      </c>
      <c r="AB26" s="7">
        <f>'July 25'!Z26 + 'August 25'!Z26 +'Sept 25'!Z26 + 'Oct 25'!Z26 + 'Nov 25'!Z26+ 'Dec 25'!Z26 +'Jan 26'!Z26+'Feb 26'!Z26+'March 26'!Z26+'April 26'!Z26+'May 26'!Z26+'June 26'!Z26</f>
        <v>0</v>
      </c>
      <c r="AC26" s="7">
        <f>'July 25'!AA26 + 'August 25'!AA26 +'Sept 25'!AA26 + 'Oct 25'!AA26 + 'Nov 25'!AA26+ 'Dec 25'!AA26 +'Jan 26'!AA26+'Feb 26'!AA26+'March 26'!AA26+'April 26'!AA26+'May 26'!AA26+'June 26'!AA26</f>
        <v>0</v>
      </c>
      <c r="AD26" s="7">
        <f>'July 25'!AB26 + 'August 25'!AB26 +'Sept 25'!AB26 + 'Oct 25'!AB26 + 'Nov 25'!AB26+ 'Dec 25'!AB26 +'Jan 26'!AB26+'Feb 26'!AB26+'March 26'!AB26+'April 26'!AB26+'May 26'!AB26+'June 26'!AB26</f>
        <v>0</v>
      </c>
      <c r="AE26" s="7">
        <f>'July 25'!AC26 + 'August 25'!AC26 +'Sept 25'!AC26 + 'Oct 25'!AC26 + 'Nov 25'!AC26+ 'Dec 25'!AC26 +'Jan 26'!AC26+'Feb 26'!AC26+'March 26'!AC26+'April 26'!AC26+'May 26'!AC26+'June 26'!AC26</f>
        <v>0</v>
      </c>
      <c r="AF26" s="7">
        <f>'July 25'!AD26 + 'August 25'!AD26 +'Sept 25'!AD26 + 'Oct 25'!AD26 + 'Nov 25'!AD26+ 'Dec 25'!AD26 +'Jan 26'!AD26+'Feb 26'!AD26+'March 26'!AD26+'April 26'!AD26+'May 26'!AD26+'June 26'!AD26</f>
        <v>0</v>
      </c>
      <c r="AG26" s="7">
        <f>'July 25'!AE26 + 'August 25'!AE26 +'Sept 25'!AE26 + 'Oct 25'!AE26 + 'Nov 25'!AE26+ 'Dec 25'!AE26 +'Jan 26'!AE26+'Feb 26'!AE26+'March 26'!AE26+'April 26'!AE26+'May 26'!AE26+'June 26'!AE26</f>
        <v>0</v>
      </c>
      <c r="AH26" s="7">
        <f>'July 25'!AF26 + 'August 25'!AF26 +'Sept 25'!AF26 + 'Oct 25'!AF26 + 'Nov 25'!AF26+ 'Dec 25'!AF26 +'Jan 26'!AF26+'Feb 26'!AF26+'March 26'!AF26+'April 26'!AF26+'May 26'!AF26+'June 26'!AF26</f>
        <v>0</v>
      </c>
      <c r="AI26" s="7">
        <f>'July 25'!AG26 + 'August 25'!AG26 +'Sept 25'!AG26 + 'Oct 25'!AG26 + 'Nov 25'!AG26+ 'Dec 25'!AG26 +'Jan 26'!AG26+'Feb 26'!AG26+'March 26'!AG26+'April 26'!AG26+'May 26'!AG26+'June 26'!AG26</f>
        <v>0</v>
      </c>
      <c r="AJ26" s="7">
        <f>'July 25'!AH26 + 'August 25'!AH26 +'Sept 25'!AH26 + 'Oct 25'!AH26 + 'Nov 25'!AH26+ 'Dec 25'!AH26 +'Jan 26'!AH26+'Feb 26'!AH26+'March 26'!AH26+'April 26'!AH26+'May 26'!AH26+'June 26'!AH26</f>
        <v>0</v>
      </c>
      <c r="AK26" s="7">
        <f>'July 25'!AI26 + 'August 25'!AI26 +'Sept 25'!AI26 + 'Oct 25'!AI26 + 'Nov 25'!AI26+ 'Dec 25'!AI26 +'Jan 26'!AI26+'Feb 26'!AI26+'March 26'!AI26+'April 26'!AI26+'May 26'!AI26+'June 26'!AI26</f>
        <v>0</v>
      </c>
      <c r="AL26" s="7">
        <f>'July 25'!AJ26 + 'August 25'!AJ26 +'Sept 25'!AJ26 + 'Oct 25'!AJ26 + 'Nov 25'!AJ26+ 'Dec 25'!AJ26 +'Jan 26'!AJ26+'Feb 26'!AJ26+'March 26'!AJ26+'April 26'!AJ26+'May 26'!AJ26+'June 26'!AJ26</f>
        <v>0</v>
      </c>
      <c r="AM26" s="7">
        <f>'July 25'!AK26 + 'August 25'!AK26 +'Sept 25'!AK26 + 'Oct 25'!AK26 + 'Nov 25'!AK26+ 'Dec 25'!AK26 +'Jan 26'!AK26+'Feb 26'!AK26+'March 26'!AK26+'April 26'!AK26+'May 26'!AK26+'June 26'!AK26</f>
        <v>0</v>
      </c>
      <c r="AN26" s="7">
        <f>'July 25'!AL26 + 'August 25'!AL26 +'Sept 25'!AL26 + 'Oct 25'!AL26 + 'Nov 25'!AL26+ 'Dec 25'!AL26 +'Jan 26'!AL26+'Feb 26'!AL26+'March 26'!AL26+'April 26'!AL26+'May 26'!AL26+'June 26'!AL26</f>
        <v>0</v>
      </c>
      <c r="AO26" s="7">
        <f>'July 25'!AM26 + 'August 25'!AM26 +'Sept 25'!AM26 + 'Oct 25'!AM26 + 'Nov 25'!AM26+ 'Dec 25'!AM26 +'Jan 26'!AM26+'Feb 26'!AM26+'March 26'!AM26+'April 26'!AM26+'May 26'!AM26+'June 26'!AM26</f>
        <v>0</v>
      </c>
      <c r="AP26" s="7">
        <f>'July 25'!AN26 + 'August 25'!AN26 +'Sept 25'!AN26 + 'Oct 25'!AN26 + 'Nov 25'!AN26+ 'Dec 25'!AN26 +'Jan 26'!AN26+'Feb 26'!AN26+'March 26'!AN26+'April 26'!AN26+'May 26'!AN26+'June 26'!AN26</f>
        <v>0</v>
      </c>
      <c r="AQ26" s="7">
        <f>'July 25'!AO26 + 'August 25'!AO26 +'Sept 25'!AO26 + 'Oct 25'!AO26 + 'Nov 25'!AO26+ 'Dec 25'!AO26 +'Jan 26'!AO26+'Feb 26'!AO26+'March 26'!AO26+'April 26'!AO26+'May 26'!AO26+'June 26'!AO26</f>
        <v>0</v>
      </c>
      <c r="AR26" s="7">
        <f>'July 25'!AP26 + 'August 25'!AP26 +'Sept 25'!AP26 + 'Oct 25'!AP26 + 'Nov 25'!AP26+ 'Dec 25'!AP26 +'Jan 26'!AP26+'Feb 26'!AP26+'March 26'!AP26+'April 26'!AP26+'May 26'!AP26+'June 26'!AP26</f>
        <v>0</v>
      </c>
      <c r="AS26" s="7">
        <f>'July 25'!AQ26 + 'August 25'!AQ26 +'Sept 25'!AQ26 + 'Oct 25'!AQ26 + 'Nov 25'!AQ26+ 'Dec 25'!AQ26 +'Jan 26'!AQ26+'Feb 26'!AQ26+'March 26'!AQ26+'April 26'!AQ26+'May 26'!AQ26+'June 26'!AQ26</f>
        <v>0</v>
      </c>
      <c r="AT26" s="7">
        <f>'July 25'!AR26 + 'August 25'!AR26 +'Sept 25'!AR26 + 'Oct 25'!AR26 + 'Nov 25'!AR26+ 'Dec 25'!AR26 +'Jan 26'!AR26+'Feb 26'!AR26+'March 26'!AR26+'April 26'!AR26+'May 26'!AR26+'June 26'!AR26</f>
        <v>0</v>
      </c>
      <c r="AU26" s="7">
        <f>'July 25'!AS26 + 'August 25'!AS26 +'Sept 25'!AS26 + 'Oct 25'!AS26 + 'Nov 25'!AS26+ 'Dec 25'!AS26 +'Jan 26'!AS26+'Feb 26'!AS26+'March 26'!AS26+'April 26'!AS26+'May 26'!AS26+'June 26'!AS26</f>
        <v>0</v>
      </c>
      <c r="AV26" s="7">
        <f>'July 25'!AT26 + 'August 25'!AT26 +'Sept 25'!AT26 + 'Oct 25'!AT26 + 'Nov 25'!AT26+ 'Dec 25'!AT26 +'Jan 26'!AT26+'Feb 26'!AT26+'March 26'!AT26+'April 26'!AT26+'May 26'!AT26+'June 26'!AT26</f>
        <v>0</v>
      </c>
      <c r="AW26" s="7">
        <f>'July 25'!AU26 + 'August 25'!AU26 +'Sept 25'!AU26 + 'Oct 25'!AU26 + 'Nov 25'!AU26+ 'Dec 25'!AU26 +'Jan 26'!AU26+'Feb 26'!AU26+'March 26'!AU26+'April 26'!AU26+'May 26'!AU26+'June 26'!AU26</f>
        <v>0</v>
      </c>
      <c r="AX26" s="7">
        <f>'July 25'!AV26 + 'August 25'!AV26 +'Sept 25'!AV26 + 'Oct 25'!AV26 + 'Nov 25'!AV26+ 'Dec 25'!AV26 +'Jan 26'!AV26+'Feb 26'!AV26+'March 26'!AV26+'April 26'!AV26+'May 26'!AV26+'June 26'!AV26</f>
        <v>0</v>
      </c>
      <c r="AY26" s="7">
        <f>'July 25'!AW26 + 'August 25'!AW26 +'Sept 25'!AW26 + 'Oct 25'!AW26 + 'Nov 25'!AW26+ 'Dec 25'!AW26 +'Jan 26'!AW26+'Feb 26'!AW26+'March 26'!AW26+'April 26'!AW26+'May 26'!AW26+'June 26'!AW26</f>
        <v>0</v>
      </c>
      <c r="AZ26" s="7">
        <f>'July 25'!AX26 + 'August 25'!AX26 +'Sept 25'!AX26 + 'Oct 25'!AX26 + 'Nov 25'!AX26+ 'Dec 25'!AX26 +'Jan 26'!AX26+'Feb 26'!AX26+'March 26'!AX26+'April 26'!AX26+'May 26'!AX26+'June 26'!AX26</f>
        <v>0</v>
      </c>
      <c r="BA26" s="7">
        <f>'July 25'!AY26 + 'August 25'!AY26 +'Sept 25'!AY26 + 'Oct 25'!AY26 + 'Nov 25'!AY26+ 'Dec 25'!AY26 +'Jan 26'!AY26+'Feb 26'!AY26+'March 26'!AY26+'April 26'!AY26+'May 26'!AY26+'June 26'!AY26</f>
        <v>0</v>
      </c>
      <c r="BB26" s="7">
        <f>'July 25'!AZ26 + 'August 25'!AZ26 +'Sept 25'!AZ26 + 'Oct 25'!AZ26 + 'Nov 25'!AZ26+ 'Dec 25'!AZ26 +'Jan 26'!AZ26+'Feb 26'!AZ26+'March 26'!AZ26+'April 26'!AZ26+'May 26'!AZ26+'June 26'!AZ26</f>
        <v>0</v>
      </c>
      <c r="BC26" s="7">
        <f>'July 25'!BA26 + 'August 25'!BA26 +'Sept 25'!BA26 + 'Oct 25'!BA26 + 'Nov 25'!BA26+ 'Dec 25'!BA26 +'Jan 26'!BA26+'Feb 26'!BA26+'March 26'!BA26+'April 26'!BA26+'May 26'!BA26+'June 26'!BA26</f>
        <v>0</v>
      </c>
      <c r="BD26" s="7">
        <f>'July 25'!BB26 + 'August 25'!BB26 +'Sept 25'!BB26 + 'Oct 25'!BB26 + 'Nov 25'!BB26+ 'Dec 25'!BB26 +'Jan 26'!BB26+'Feb 26'!BB26+'March 26'!BB26+'April 26'!BB26+'May 26'!BB26+'June 26'!BB26</f>
        <v>0</v>
      </c>
      <c r="BE26" s="7">
        <f>'July 25'!BC26 + 'August 25'!BC26 +'Sept 25'!BC26 + 'Oct 25'!BC26 + 'Nov 25'!BC26+ 'Dec 25'!BC26 +'Jan 26'!BC26+'Feb 26'!BC26+'March 26'!BC26+'April 26'!BC26+'May 26'!BC26+'June 26'!BC26</f>
        <v>0</v>
      </c>
      <c r="BF26" s="7">
        <f>'July 25'!BD26 + 'August 25'!BD26 +'Sept 25'!BD26 + 'Oct 25'!BD26 + 'Nov 25'!BD26+ 'Dec 25'!BD26 +'Jan 26'!BD26+'Feb 26'!BD26+'March 26'!BD26+'April 26'!BD26+'May 26'!BD26+'June 26'!BD26</f>
        <v>0</v>
      </c>
      <c r="BG26" s="7">
        <f>'July 25'!BE26 + 'August 25'!BE26 +'Sept 25'!BE26 + 'Oct 25'!BE26 + 'Nov 25'!BE26+ 'Dec 25'!BE26 +'Jan 26'!BE26+'Feb 26'!BE26+'March 26'!BE26+'April 26'!BE26+'May 26'!BE26+'June 26'!BE26</f>
        <v>0</v>
      </c>
      <c r="BH26" s="7">
        <f>'July 25'!BF26 + 'August 25'!BF26 +'Sept 25'!BF26 + 'Oct 25'!BF26 + 'Nov 25'!BF26+ 'Dec 25'!BF26 +'Jan 26'!BF26+'Feb 26'!BF26+'March 26'!BF26+'April 26'!BF26+'May 26'!BF26+'June 26'!BF26</f>
        <v>0</v>
      </c>
      <c r="BI26" s="7">
        <f>'July 25'!BG26 + 'August 25'!BG26 +'Sept 25'!BG26 + 'Oct 25'!BG26 + 'Nov 25'!BG26+ 'Dec 25'!BG26 +'Jan 26'!BG26+'Feb 26'!BG26+'March 26'!BG26+'April 26'!BG26+'May 26'!BG26+'June 26'!BG26</f>
        <v>0</v>
      </c>
      <c r="BJ26" s="7">
        <f>'July 25'!BH26 + 'August 25'!BH26 +'Sept 25'!BH26 + 'Oct 25'!BH26 + 'Nov 25'!BH26+ 'Dec 25'!BH26 +'Jan 26'!BH26+'Feb 26'!BH26+'March 26'!BH26+'April 26'!BH26+'May 26'!BH26+'June 26'!BH26</f>
        <v>0</v>
      </c>
      <c r="BK26" s="7">
        <f>'July 25'!BI26 + 'August 25'!BI26 +'Sept 25'!BI26 + 'Oct 25'!BI26 + 'Nov 25'!BI26+ 'Dec 25'!BI26 +'Jan 26'!BI26+'Feb 26'!BI26+'March 26'!BI26+'April 26'!BI26+'May 26'!BI26+'June 26'!BI26</f>
        <v>0</v>
      </c>
      <c r="BL26" s="7">
        <f>'July 25'!BJ26 + 'August 25'!BJ26 +'Sept 25'!BJ26 + 'Oct 25'!BJ26 + 'Nov 25'!BJ26+ 'Dec 25'!BJ26 +'Jan 26'!BJ26+'Feb 26'!BJ26+'March 26'!BJ26+'April 26'!BJ26+'May 26'!BJ26+'June 26'!BJ26</f>
        <v>0</v>
      </c>
      <c r="BM26" s="7">
        <f>'July 25'!BK26 + 'August 25'!BK26 +'Sept 25'!BK26 + 'Oct 25'!BK26 + 'Nov 25'!BK26+ 'Dec 25'!BK26 +'Jan 26'!BK26+'Feb 26'!BK26+'March 26'!BK26+'April 26'!BK26+'May 26'!BK26+'June 26'!BK26</f>
        <v>0</v>
      </c>
      <c r="BN26" s="7">
        <f>'July 25'!BL26 + 'August 25'!BL26 +'Sept 25'!BL26 + 'Oct 25'!BL26 + 'Nov 25'!BL26+ 'Dec 25'!BL26 +'Jan 26'!BL26+'Feb 26'!BL26+'March 26'!BL26+'April 26'!BL26+'May 26'!BL26+'June 26'!BL26</f>
        <v>0</v>
      </c>
      <c r="BO26" s="7">
        <f>'July 25'!BM26 + 'August 25'!BM26 +'Sept 25'!BM26 + 'Oct 25'!BM26 + 'Nov 25'!BM26+ 'Dec 25'!BM26 +'Jan 26'!BM26+'Feb 26'!BM26+'March 26'!BM26+'April 26'!BM26+'May 26'!BM26+'June 26'!BM26</f>
        <v>0</v>
      </c>
      <c r="BP26" s="7">
        <f>'July 25'!BN26 + 'August 25'!BN26 +'Sept 25'!BN26 + 'Oct 25'!BN26 + 'Nov 25'!BN26+ 'Dec 25'!BN26 +'Jan 26'!BN26+'Feb 26'!BN26+'March 26'!BN26+'April 26'!BN26+'May 26'!BN26+'June 26'!BN26</f>
        <v>80</v>
      </c>
      <c r="BQ26" s="7">
        <f>'July 25'!BO26 + 'August 25'!BO26 +'Sept 25'!BO26 + 'Oct 25'!BO26 + 'Nov 25'!BO26+ 'Dec 25'!BO26 +'Jan 26'!BO26+'Feb 26'!BO26+'March 26'!BO26+'April 26'!BO26+'May 26'!BO26+'June 26'!BO26</f>
        <v>0</v>
      </c>
      <c r="BR26" s="7">
        <f>'July 25'!BP26 + 'August 25'!BP26 +'Sept 25'!BP26 + 'Oct 25'!BP26 + 'Nov 25'!BP26+ 'Dec 25'!BP26 +'Jan 26'!BP26+'Feb 26'!BP26+'March 26'!BP26+'April 26'!BP26+'May 26'!BP26+'June 26'!BP26</f>
        <v>0</v>
      </c>
      <c r="BS26" s="7">
        <f>'July 25'!BQ26 + 'August 25'!BQ26 +'Sept 25'!BQ26 + 'Oct 25'!BQ26 + 'Nov 25'!BQ26+ 'Dec 25'!BQ26 +'Jan 26'!BQ26+'Feb 26'!BQ26+'March 26'!BQ26+'April 26'!BQ26+'May 26'!BQ26+'June 26'!BQ26</f>
        <v>0</v>
      </c>
      <c r="BT26" s="7">
        <f>'July 25'!BR26 + 'August 25'!BR26 +'Sept 25'!BR26 + 'Oct 25'!BR26 + 'Nov 25'!BR26+ 'Dec 25'!BR26 +'Jan 26'!BR26+'Feb 26'!BR26+'March 26'!BR26+'April 26'!BR26+'May 26'!BR26+'June 26'!BR26</f>
        <v>0</v>
      </c>
      <c r="BU26" s="7">
        <f>'July 25'!BS26 + 'August 25'!BS26 +'Sept 25'!BS26 + 'Oct 25'!BS26 + 'Nov 25'!BS26+ 'Dec 25'!BS26 +'Jan 26'!BS26+'Feb 26'!BS26+'March 26'!BS26+'April 26'!BS26+'May 26'!BS26+'June 26'!BS26</f>
        <v>0</v>
      </c>
      <c r="BV26" s="7">
        <f>'July 25'!BT26 + 'August 25'!BT26 +'Sept 25'!BT26 + 'Oct 25'!BT26 + 'Nov 25'!BT26+ 'Dec 25'!BT26 +'Jan 26'!BT26+'Feb 26'!BT26+'March 26'!BT26+'April 26'!BT26+'May 26'!BT26+'June 26'!BT26</f>
        <v>0</v>
      </c>
      <c r="BW26" s="7">
        <f>'July 25'!BU26 + 'August 25'!BU26 +'Sept 25'!BU26 + 'Oct 25'!BU26 + 'Nov 25'!BU26+ 'Dec 25'!BU26 +'Jan 26'!BU26+'Feb 26'!BU26+'March 26'!BU26+'April 26'!BU26+'May 26'!BU26+'June 26'!BU26</f>
        <v>0</v>
      </c>
      <c r="BX26" s="7">
        <f>'July 25'!BV26 + 'August 25'!BV26 +'Sept 25'!BV26 + 'Oct 25'!BV26 + 'Nov 25'!BV26+ 'Dec 25'!BV26 +'Jan 26'!BV26+'Feb 26'!BV26+'March 26'!BV26+'April 26'!BV26+'May 26'!BV26+'June 26'!BV26</f>
        <v>0</v>
      </c>
      <c r="BY26" s="7">
        <f>'July 25'!BW26 + 'August 25'!BW26 +'Sept 25'!BW26 + 'Oct 25'!BW26 + 'Nov 25'!BW26+ 'Dec 25'!BW26 +'Jan 26'!BW26+'Feb 26'!BW26+'March 26'!BW26+'April 26'!BW26+'May 26'!BW26+'June 26'!BW26</f>
        <v>0</v>
      </c>
      <c r="BZ26" s="7">
        <f>'July 25'!BX26 + 'August 25'!BX26 +'Sept 25'!BX26 + 'Oct 25'!BX26 + 'Nov 25'!BX26+ 'Dec 25'!BX26 +'Jan 26'!BX26+'Feb 26'!BX26+'March 26'!BX26+'April 26'!BX26+'May 26'!BX26+'June 26'!BX26</f>
        <v>0</v>
      </c>
      <c r="CA26" s="7">
        <f>'July 25'!BY26 + 'August 25'!BY26 +'Sept 25'!BY26 + 'Oct 25'!BY26 + 'Nov 25'!BY26+ 'Dec 25'!BY26 +'Jan 26'!BY26+'Feb 26'!BY26+'March 26'!BY26+'April 26'!BY26+'May 26'!BY26+'June 26'!BY26</f>
        <v>0</v>
      </c>
      <c r="CB26" s="7">
        <f>'July 25'!BZ26 + 'August 25'!BZ26 +'Sept 25'!BZ26 + 'Oct 25'!BZ26 + 'Nov 25'!BZ26+ 'Dec 25'!BZ26 +'Jan 26'!BZ26+'Feb 26'!BZ26+'March 26'!BZ26+'April 26'!BZ26+'May 26'!BZ26+'June 26'!BZ26</f>
        <v>0</v>
      </c>
      <c r="CC26" s="7">
        <f>'July 25'!CA26 + 'August 25'!CA26 +'Sept 25'!CA26 + 'Oct 25'!CA26 + 'Nov 25'!CA26+ 'Dec 25'!CA26 +'Jan 26'!CA26+'Feb 26'!CA26+'March 26'!CA26+'April 26'!CA26+'May 26'!CA26+'June 26'!CA26</f>
        <v>0</v>
      </c>
      <c r="CD26" s="7">
        <f>'July 25'!CB26 + 'August 25'!CB26 +'Sept 25'!CB26 + 'Oct 25'!CB26 + 'Nov 25'!CB26+ 'Dec 25'!CB26 +'Jan 26'!CB26+'Feb 26'!CB26+'March 26'!CB26+'April 26'!CB26+'May 26'!CB26+'June 26'!CB26</f>
        <v>0</v>
      </c>
      <c r="CE26" s="7">
        <f>'July 25'!CC26 + 'August 25'!CC26 +'Sept 25'!CC26 + 'Oct 25'!CC26 + 'Nov 25'!CC26+ 'Dec 25'!CC26 +'Jan 26'!CC26+'Feb 26'!CC26+'March 26'!CC26+'April 26'!CC26+'May 26'!CC26+'June 26'!CC26</f>
        <v>0</v>
      </c>
      <c r="CF26" s="8" cm="1">
        <f t="array" ref="CF26">SUMPRODUCT(--(UPPER($F$2:$CE$2)="NET NEW"),$F26:$CE26)</f>
        <v>1000</v>
      </c>
      <c r="CG26" s="3">
        <f>SUMIF($F$2:$CE$2,"Enhance Existing",$F26:$CE26)</f>
        <v>0</v>
      </c>
      <c r="CH26" s="3">
        <f>SUMIF($F$2:$CE$2,"Maintenance",$F26:$CE26)</f>
        <v>440</v>
      </c>
    </row>
    <row r="27" spans="1:86" ht="15.95">
      <c r="A27" s="7" t="s">
        <v>38</v>
      </c>
      <c r="B27" s="7" t="s">
        <v>39</v>
      </c>
      <c r="C27" s="7" t="s">
        <v>68</v>
      </c>
      <c r="D27" s="12">
        <v>79</v>
      </c>
      <c r="E27" s="7"/>
      <c r="F27" s="7">
        <f>'July 25'!D27 + 'August 25'!D27 +'Sept 25'!D27 + 'Oct 25'!D27 + 'Nov 25'!D27+ 'Dec 25'!D27 +'Jan 26'!D27+'Feb 26'!D27+'March 26'!D27+'April 26'!D27+'May 26'!D27+'June 26'!D27</f>
        <v>1440</v>
      </c>
      <c r="G27" s="7">
        <f>'July 25'!E27 + 'August 25'!E27 +'Sept 25'!E27 + 'Oct 25'!E27 + 'Nov 25'!E27+ 'Dec 25'!E27 +'Jan 26'!E27+'Feb 26'!E27+'March 26'!E27+'April 26'!E27+'May 26'!E27+'June 26'!E27</f>
        <v>0</v>
      </c>
      <c r="H27" s="7">
        <f>'July 25'!F27 + 'August 25'!F27 +'Sept 25'!F27 + 'Oct 25'!F27 + 'Nov 25'!F27+ 'Dec 25'!F27 +'Jan 26'!F27+'Feb 26'!F27+'March 26'!F27+'April 26'!F27+'May 26'!F27+'June 26'!F27</f>
        <v>0</v>
      </c>
      <c r="I27" s="7">
        <f>'July 25'!G27 + 'August 25'!G27 +'Sept 25'!G27 + 'Oct 25'!G27 + 'Nov 25'!G27+ 'Dec 25'!G27 +'Jan 26'!G27+'Feb 26'!G27+'March 26'!G27+'April 26'!G27+'May 26'!G27+'June 26'!G27</f>
        <v>0</v>
      </c>
      <c r="J27" s="7">
        <f>'July 25'!H27 + 'August 25'!H27 +'Sept 25'!H27 + 'Oct 25'!H27 + 'Nov 25'!H27+ 'Dec 25'!H27 +'Jan 26'!H27+'Feb 26'!H27+'March 26'!H27+'April 26'!H27+'May 26'!H27+'June 26'!H27</f>
        <v>0</v>
      </c>
      <c r="K27" s="7">
        <f>'July 25'!I27 + 'August 25'!I27 +'Sept 25'!I27 + 'Oct 25'!I27 + 'Nov 25'!I27+ 'Dec 25'!I27 +'Jan 26'!I27+'Feb 26'!I27+'March 26'!I27+'April 26'!I27+'May 26'!I27+'June 26'!I27</f>
        <v>0</v>
      </c>
      <c r="L27" s="7">
        <f>'July 25'!J27 + 'August 25'!J27 +'Sept 25'!J27 + 'Oct 25'!J27 + 'Nov 25'!J27+ 'Dec 25'!J27 +'Jan 26'!J27+'Feb 26'!J27+'March 26'!J27+'April 26'!J27+'May 26'!J27+'June 26'!J27</f>
        <v>0</v>
      </c>
      <c r="M27" s="7">
        <f>'July 25'!K27 + 'August 25'!K27 +'Sept 25'!K27 + 'Oct 25'!K27 + 'Nov 25'!K27+ 'Dec 25'!K27 +'Jan 26'!K27+'Feb 26'!K27+'March 26'!K27+'April 26'!K27+'May 26'!K27+'June 26'!K27</f>
        <v>0</v>
      </c>
      <c r="N27" s="7">
        <f>'July 25'!L27 + 'August 25'!L27 +'Sept 25'!L27 + 'Oct 25'!L27 + 'Nov 25'!L27+ 'Dec 25'!L27 +'Jan 26'!L27+'Feb 26'!L27+'March 26'!L27+'April 26'!L27+'May 26'!L27+'June 26'!L27</f>
        <v>0</v>
      </c>
      <c r="O27" s="7">
        <f>'July 25'!M27 + 'August 25'!M27 +'Sept 25'!M27 + 'Oct 25'!M27 + 'Nov 25'!M27+ 'Dec 25'!M27 +'Jan 26'!M27+'Feb 26'!M27+'March 26'!M27+'April 26'!M27+'May 26'!M27+'June 26'!M27</f>
        <v>0</v>
      </c>
      <c r="P27" s="7">
        <f>'July 25'!N27 + 'August 25'!N27 +'Sept 25'!N27 + 'Oct 25'!N27 + 'Nov 25'!N27+ 'Dec 25'!N27 +'Jan 26'!N27+'Feb 26'!N27+'March 26'!N27+'April 26'!N27+'May 26'!N27+'June 26'!N27</f>
        <v>0</v>
      </c>
      <c r="Q27" s="7">
        <f>'July 25'!O27 + 'August 25'!O27 +'Sept 25'!O27 + 'Oct 25'!O27 + 'Nov 25'!O27+ 'Dec 25'!O27 +'Jan 26'!O27+'Feb 26'!O27+'March 26'!O27+'April 26'!O27+'May 26'!O27+'June 26'!O27</f>
        <v>0</v>
      </c>
      <c r="R27" s="7">
        <f>'July 25'!P27 + 'August 25'!P27 +'Sept 25'!P27 + 'Oct 25'!P27 + 'Nov 25'!P27+ 'Dec 25'!P27 +'Jan 26'!P27+'Feb 26'!P27+'March 26'!P27+'April 26'!P27+'May 26'!P27+'June 26'!P27</f>
        <v>0</v>
      </c>
      <c r="S27" s="7">
        <f>'July 25'!Q27 + 'August 25'!Q27 +'Sept 25'!Q27 + 'Oct 25'!Q27 + 'Nov 25'!Q27+ 'Dec 25'!Q27 +'Jan 26'!Q27+'Feb 26'!Q27+'March 26'!Q27+'April 26'!Q27+'May 26'!Q27+'June 26'!Q27</f>
        <v>0</v>
      </c>
      <c r="T27" s="7">
        <f>'July 25'!R27 + 'August 25'!R27 +'Sept 25'!R27 + 'Oct 25'!R27 + 'Nov 25'!R27+ 'Dec 25'!R27 +'Jan 26'!R27+'Feb 26'!R27+'March 26'!R27+'April 26'!R27+'May 26'!R27+'June 26'!R27</f>
        <v>0</v>
      </c>
      <c r="U27" s="7">
        <f>'July 25'!S27 + 'August 25'!S27 +'Sept 25'!S27 + 'Oct 25'!S27 + 'Nov 25'!S27+ 'Dec 25'!S27 +'Jan 26'!S27+'Feb 26'!S27+'March 26'!S27+'April 26'!S27+'May 26'!S27+'June 26'!S27</f>
        <v>0</v>
      </c>
      <c r="V27" s="7">
        <f>'July 25'!T27 + 'August 25'!T27 +'Sept 25'!T27 + 'Oct 25'!T27 + 'Nov 25'!T27+ 'Dec 25'!T27 +'Jan 26'!T27+'Feb 26'!T27+'March 26'!T27+'April 26'!T27+'May 26'!T27+'June 26'!T27</f>
        <v>0</v>
      </c>
      <c r="W27" s="7">
        <f>'July 25'!U27 + 'August 25'!U27 +'Sept 25'!U27 + 'Oct 25'!U27 + 'Nov 25'!U27+ 'Dec 25'!U27 +'Jan 26'!U27+'Feb 26'!U27+'March 26'!U27+'April 26'!U27+'May 26'!U27+'June 26'!U27</f>
        <v>0</v>
      </c>
      <c r="X27" s="7">
        <f>'July 25'!V27 + 'August 25'!V27 +'Sept 25'!V27 + 'Oct 25'!V27 + 'Nov 25'!V27+ 'Dec 25'!V27 +'Jan 26'!V27+'Feb 26'!V27+'March 26'!V27+'April 26'!V27+'May 26'!V27+'June 26'!V27</f>
        <v>0</v>
      </c>
      <c r="Y27" s="7">
        <f>'July 25'!W27 + 'August 25'!W27 +'Sept 25'!W27 + 'Oct 25'!W27 + 'Nov 25'!W27+ 'Dec 25'!W27 +'Jan 26'!W27+'Feb 26'!W27+'March 26'!W27+'April 26'!W27+'May 26'!W27+'June 26'!W27</f>
        <v>0</v>
      </c>
      <c r="Z27" s="7">
        <f>'July 25'!X27 + 'August 25'!X27 +'Sept 25'!X27 + 'Oct 25'!X27 + 'Nov 25'!X27+ 'Dec 25'!X27 +'Jan 26'!X27+'Feb 26'!X27+'March 26'!X27+'April 26'!X27+'May 26'!X27+'June 26'!X27</f>
        <v>0</v>
      </c>
      <c r="AA27" s="7">
        <f>'July 25'!Y27 + 'August 25'!Y27 +'Sept 25'!Y27 + 'Oct 25'!Y27 + 'Nov 25'!Y27+ 'Dec 25'!Y27 +'Jan 26'!Y27+'Feb 26'!Y27+'March 26'!Y27+'April 26'!Y27+'May 26'!Y27+'June 26'!Y27</f>
        <v>0</v>
      </c>
      <c r="AB27" s="7">
        <f>'July 25'!Z27 + 'August 25'!Z27 +'Sept 25'!Z27 + 'Oct 25'!Z27 + 'Nov 25'!Z27+ 'Dec 25'!Z27 +'Jan 26'!Z27+'Feb 26'!Z27+'March 26'!Z27+'April 26'!Z27+'May 26'!Z27+'June 26'!Z27</f>
        <v>0</v>
      </c>
      <c r="AC27" s="7">
        <f>'July 25'!AA27 + 'August 25'!AA27 +'Sept 25'!AA27 + 'Oct 25'!AA27 + 'Nov 25'!AA27+ 'Dec 25'!AA27 +'Jan 26'!AA27+'Feb 26'!AA27+'March 26'!AA27+'April 26'!AA27+'May 26'!AA27+'June 26'!AA27</f>
        <v>0</v>
      </c>
      <c r="AD27" s="7">
        <f>'July 25'!AB27 + 'August 25'!AB27 +'Sept 25'!AB27 + 'Oct 25'!AB27 + 'Nov 25'!AB27+ 'Dec 25'!AB27 +'Jan 26'!AB27+'Feb 26'!AB27+'March 26'!AB27+'April 26'!AB27+'May 26'!AB27+'June 26'!AB27</f>
        <v>0</v>
      </c>
      <c r="AE27" s="7">
        <f>'July 25'!AC27 + 'August 25'!AC27 +'Sept 25'!AC27 + 'Oct 25'!AC27 + 'Nov 25'!AC27+ 'Dec 25'!AC27 +'Jan 26'!AC27+'Feb 26'!AC27+'March 26'!AC27+'April 26'!AC27+'May 26'!AC27+'June 26'!AC27</f>
        <v>0</v>
      </c>
      <c r="AF27" s="7">
        <f>'July 25'!AD27 + 'August 25'!AD27 +'Sept 25'!AD27 + 'Oct 25'!AD27 + 'Nov 25'!AD27+ 'Dec 25'!AD27 +'Jan 26'!AD27+'Feb 26'!AD27+'March 26'!AD27+'April 26'!AD27+'May 26'!AD27+'June 26'!AD27</f>
        <v>0</v>
      </c>
      <c r="AG27" s="7">
        <f>'July 25'!AE27 + 'August 25'!AE27 +'Sept 25'!AE27 + 'Oct 25'!AE27 + 'Nov 25'!AE27+ 'Dec 25'!AE27 +'Jan 26'!AE27+'Feb 26'!AE27+'March 26'!AE27+'April 26'!AE27+'May 26'!AE27+'June 26'!AE27</f>
        <v>0</v>
      </c>
      <c r="AH27" s="7">
        <f>'July 25'!AF27 + 'August 25'!AF27 +'Sept 25'!AF27 + 'Oct 25'!AF27 + 'Nov 25'!AF27+ 'Dec 25'!AF27 +'Jan 26'!AF27+'Feb 26'!AF27+'March 26'!AF27+'April 26'!AF27+'May 26'!AF27+'June 26'!AF27</f>
        <v>0</v>
      </c>
      <c r="AI27" s="7">
        <f>'July 25'!AG27 + 'August 25'!AG27 +'Sept 25'!AG27 + 'Oct 25'!AG27 + 'Nov 25'!AG27+ 'Dec 25'!AG27 +'Jan 26'!AG27+'Feb 26'!AG27+'March 26'!AG27+'April 26'!AG27+'May 26'!AG27+'June 26'!AG27</f>
        <v>0</v>
      </c>
      <c r="AJ27" s="7">
        <f>'July 25'!AH27 + 'August 25'!AH27 +'Sept 25'!AH27 + 'Oct 25'!AH27 + 'Nov 25'!AH27+ 'Dec 25'!AH27 +'Jan 26'!AH27+'Feb 26'!AH27+'March 26'!AH27+'April 26'!AH27+'May 26'!AH27+'June 26'!AH27</f>
        <v>0</v>
      </c>
      <c r="AK27" s="7">
        <f>'July 25'!AI27 + 'August 25'!AI27 +'Sept 25'!AI27 + 'Oct 25'!AI27 + 'Nov 25'!AI27+ 'Dec 25'!AI27 +'Jan 26'!AI27+'Feb 26'!AI27+'March 26'!AI27+'April 26'!AI27+'May 26'!AI27+'June 26'!AI27</f>
        <v>0</v>
      </c>
      <c r="AL27" s="7">
        <f>'July 25'!AJ27 + 'August 25'!AJ27 +'Sept 25'!AJ27 + 'Oct 25'!AJ27 + 'Nov 25'!AJ27+ 'Dec 25'!AJ27 +'Jan 26'!AJ27+'Feb 26'!AJ27+'March 26'!AJ27+'April 26'!AJ27+'May 26'!AJ27+'June 26'!AJ27</f>
        <v>0</v>
      </c>
      <c r="AM27" s="7">
        <f>'July 25'!AK27 + 'August 25'!AK27 +'Sept 25'!AK27 + 'Oct 25'!AK27 + 'Nov 25'!AK27+ 'Dec 25'!AK27 +'Jan 26'!AK27+'Feb 26'!AK27+'March 26'!AK27+'April 26'!AK27+'May 26'!AK27+'June 26'!AK27</f>
        <v>0</v>
      </c>
      <c r="AN27" s="7">
        <f>'July 25'!AL27 + 'August 25'!AL27 +'Sept 25'!AL27 + 'Oct 25'!AL27 + 'Nov 25'!AL27+ 'Dec 25'!AL27 +'Jan 26'!AL27+'Feb 26'!AL27+'March 26'!AL27+'April 26'!AL27+'May 26'!AL27+'June 26'!AL27</f>
        <v>0</v>
      </c>
      <c r="AO27" s="7">
        <f>'July 25'!AM27 + 'August 25'!AM27 +'Sept 25'!AM27 + 'Oct 25'!AM27 + 'Nov 25'!AM27+ 'Dec 25'!AM27 +'Jan 26'!AM27+'Feb 26'!AM27+'March 26'!AM27+'April 26'!AM27+'May 26'!AM27+'June 26'!AM27</f>
        <v>0</v>
      </c>
      <c r="AP27" s="7">
        <f>'July 25'!AN27 + 'August 25'!AN27 +'Sept 25'!AN27 + 'Oct 25'!AN27 + 'Nov 25'!AN27+ 'Dec 25'!AN27 +'Jan 26'!AN27+'Feb 26'!AN27+'March 26'!AN27+'April 26'!AN27+'May 26'!AN27+'June 26'!AN27</f>
        <v>0</v>
      </c>
      <c r="AQ27" s="7">
        <f>'July 25'!AO27 + 'August 25'!AO27 +'Sept 25'!AO27 + 'Oct 25'!AO27 + 'Nov 25'!AO27+ 'Dec 25'!AO27 +'Jan 26'!AO27+'Feb 26'!AO27+'March 26'!AO27+'April 26'!AO27+'May 26'!AO27+'June 26'!AO27</f>
        <v>0</v>
      </c>
      <c r="AR27" s="7">
        <f>'July 25'!AP27 + 'August 25'!AP27 +'Sept 25'!AP27 + 'Oct 25'!AP27 + 'Nov 25'!AP27+ 'Dec 25'!AP27 +'Jan 26'!AP27+'Feb 26'!AP27+'March 26'!AP27+'April 26'!AP27+'May 26'!AP27+'June 26'!AP27</f>
        <v>0</v>
      </c>
      <c r="AS27" s="7">
        <f>'July 25'!AQ27 + 'August 25'!AQ27 +'Sept 25'!AQ27 + 'Oct 25'!AQ27 + 'Nov 25'!AQ27+ 'Dec 25'!AQ27 +'Jan 26'!AQ27+'Feb 26'!AQ27+'March 26'!AQ27+'April 26'!AQ27+'May 26'!AQ27+'June 26'!AQ27</f>
        <v>0</v>
      </c>
      <c r="AT27" s="7">
        <f>'July 25'!AR27 + 'August 25'!AR27 +'Sept 25'!AR27 + 'Oct 25'!AR27 + 'Nov 25'!AR27+ 'Dec 25'!AR27 +'Jan 26'!AR27+'Feb 26'!AR27+'March 26'!AR27+'April 26'!AR27+'May 26'!AR27+'June 26'!AR27</f>
        <v>0</v>
      </c>
      <c r="AU27" s="7">
        <f>'July 25'!AS27 + 'August 25'!AS27 +'Sept 25'!AS27 + 'Oct 25'!AS27 + 'Nov 25'!AS27+ 'Dec 25'!AS27 +'Jan 26'!AS27+'Feb 26'!AS27+'March 26'!AS27+'April 26'!AS27+'May 26'!AS27+'June 26'!AS27</f>
        <v>0</v>
      </c>
      <c r="AV27" s="7">
        <f>'July 25'!AT27 + 'August 25'!AT27 +'Sept 25'!AT27 + 'Oct 25'!AT27 + 'Nov 25'!AT27+ 'Dec 25'!AT27 +'Jan 26'!AT27+'Feb 26'!AT27+'March 26'!AT27+'April 26'!AT27+'May 26'!AT27+'June 26'!AT27</f>
        <v>0</v>
      </c>
      <c r="AW27" s="7">
        <f>'July 25'!AU27 + 'August 25'!AU27 +'Sept 25'!AU27 + 'Oct 25'!AU27 + 'Nov 25'!AU27+ 'Dec 25'!AU27 +'Jan 26'!AU27+'Feb 26'!AU27+'March 26'!AU27+'April 26'!AU27+'May 26'!AU27+'June 26'!AU27</f>
        <v>0</v>
      </c>
      <c r="AX27" s="7">
        <f>'July 25'!AV27 + 'August 25'!AV27 +'Sept 25'!AV27 + 'Oct 25'!AV27 + 'Nov 25'!AV27+ 'Dec 25'!AV27 +'Jan 26'!AV27+'Feb 26'!AV27+'March 26'!AV27+'April 26'!AV27+'May 26'!AV27+'June 26'!AV27</f>
        <v>0</v>
      </c>
      <c r="AY27" s="7">
        <f>'July 25'!AW27 + 'August 25'!AW27 +'Sept 25'!AW27 + 'Oct 25'!AW27 + 'Nov 25'!AW27+ 'Dec 25'!AW27 +'Jan 26'!AW27+'Feb 26'!AW27+'March 26'!AW27+'April 26'!AW27+'May 26'!AW27+'June 26'!AW27</f>
        <v>0</v>
      </c>
      <c r="AZ27" s="7">
        <f>'July 25'!AX27 + 'August 25'!AX27 +'Sept 25'!AX27 + 'Oct 25'!AX27 + 'Nov 25'!AX27+ 'Dec 25'!AX27 +'Jan 26'!AX27+'Feb 26'!AX27+'March 26'!AX27+'April 26'!AX27+'May 26'!AX27+'June 26'!AX27</f>
        <v>0</v>
      </c>
      <c r="BA27" s="7">
        <f>'July 25'!AY27 + 'August 25'!AY27 +'Sept 25'!AY27 + 'Oct 25'!AY27 + 'Nov 25'!AY27+ 'Dec 25'!AY27 +'Jan 26'!AY27+'Feb 26'!AY27+'March 26'!AY27+'April 26'!AY27+'May 26'!AY27+'June 26'!AY27</f>
        <v>0</v>
      </c>
      <c r="BB27" s="7">
        <f>'July 25'!AZ27 + 'August 25'!AZ27 +'Sept 25'!AZ27 + 'Oct 25'!AZ27 + 'Nov 25'!AZ27+ 'Dec 25'!AZ27 +'Jan 26'!AZ27+'Feb 26'!AZ27+'March 26'!AZ27+'April 26'!AZ27+'May 26'!AZ27+'June 26'!AZ27</f>
        <v>0</v>
      </c>
      <c r="BC27" s="7">
        <f>'July 25'!BA27 + 'August 25'!BA27 +'Sept 25'!BA27 + 'Oct 25'!BA27 + 'Nov 25'!BA27+ 'Dec 25'!BA27 +'Jan 26'!BA27+'Feb 26'!BA27+'March 26'!BA27+'April 26'!BA27+'May 26'!BA27+'June 26'!BA27</f>
        <v>0</v>
      </c>
      <c r="BD27" s="7">
        <f>'July 25'!BB27 + 'August 25'!BB27 +'Sept 25'!BB27 + 'Oct 25'!BB27 + 'Nov 25'!BB27+ 'Dec 25'!BB27 +'Jan 26'!BB27+'Feb 26'!BB27+'March 26'!BB27+'April 26'!BB27+'May 26'!BB27+'June 26'!BB27</f>
        <v>0</v>
      </c>
      <c r="BE27" s="7">
        <f>'July 25'!BC27 + 'August 25'!BC27 +'Sept 25'!BC27 + 'Oct 25'!BC27 + 'Nov 25'!BC27+ 'Dec 25'!BC27 +'Jan 26'!BC27+'Feb 26'!BC27+'March 26'!BC27+'April 26'!BC27+'May 26'!BC27+'June 26'!BC27</f>
        <v>0</v>
      </c>
      <c r="BF27" s="7">
        <f>'July 25'!BD27 + 'August 25'!BD27 +'Sept 25'!BD27 + 'Oct 25'!BD27 + 'Nov 25'!BD27+ 'Dec 25'!BD27 +'Jan 26'!BD27+'Feb 26'!BD27+'March 26'!BD27+'April 26'!BD27+'May 26'!BD27+'June 26'!BD27</f>
        <v>0</v>
      </c>
      <c r="BG27" s="7">
        <f>'July 25'!BE27 + 'August 25'!BE27 +'Sept 25'!BE27 + 'Oct 25'!BE27 + 'Nov 25'!BE27+ 'Dec 25'!BE27 +'Jan 26'!BE27+'Feb 26'!BE27+'March 26'!BE27+'April 26'!BE27+'May 26'!BE27+'June 26'!BE27</f>
        <v>0</v>
      </c>
      <c r="BH27" s="7">
        <f>'July 25'!BF27 + 'August 25'!BF27 +'Sept 25'!BF27 + 'Oct 25'!BF27 + 'Nov 25'!BF27+ 'Dec 25'!BF27 +'Jan 26'!BF27+'Feb 26'!BF27+'March 26'!BF27+'April 26'!BF27+'May 26'!BF27+'June 26'!BF27</f>
        <v>0</v>
      </c>
      <c r="BI27" s="7">
        <f>'July 25'!BG27 + 'August 25'!BG27 +'Sept 25'!BG27 + 'Oct 25'!BG27 + 'Nov 25'!BG27+ 'Dec 25'!BG27 +'Jan 26'!BG27+'Feb 26'!BG27+'March 26'!BG27+'April 26'!BG27+'May 26'!BG27+'June 26'!BG27</f>
        <v>0</v>
      </c>
      <c r="BJ27" s="7">
        <f>'July 25'!BH27 + 'August 25'!BH27 +'Sept 25'!BH27 + 'Oct 25'!BH27 + 'Nov 25'!BH27+ 'Dec 25'!BH27 +'Jan 26'!BH27+'Feb 26'!BH27+'March 26'!BH27+'April 26'!BH27+'May 26'!BH27+'June 26'!BH27</f>
        <v>0</v>
      </c>
      <c r="BK27" s="7">
        <f>'July 25'!BI27 + 'August 25'!BI27 +'Sept 25'!BI27 + 'Oct 25'!BI27 + 'Nov 25'!BI27+ 'Dec 25'!BI27 +'Jan 26'!BI27+'Feb 26'!BI27+'March 26'!BI27+'April 26'!BI27+'May 26'!BI27+'June 26'!BI27</f>
        <v>0</v>
      </c>
      <c r="BL27" s="7">
        <f>'July 25'!BJ27 + 'August 25'!BJ27 +'Sept 25'!BJ27 + 'Oct 25'!BJ27 + 'Nov 25'!BJ27+ 'Dec 25'!BJ27 +'Jan 26'!BJ27+'Feb 26'!BJ27+'March 26'!BJ27+'April 26'!BJ27+'May 26'!BJ27+'June 26'!BJ27</f>
        <v>0</v>
      </c>
      <c r="BM27" s="7">
        <f>'July 25'!BK27 + 'August 25'!BK27 +'Sept 25'!BK27 + 'Oct 25'!BK27 + 'Nov 25'!BK27+ 'Dec 25'!BK27 +'Jan 26'!BK27+'Feb 26'!BK27+'March 26'!BK27+'April 26'!BK27+'May 26'!BK27+'June 26'!BK27</f>
        <v>0</v>
      </c>
      <c r="BN27" s="7">
        <f>'July 25'!BL27 + 'August 25'!BL27 +'Sept 25'!BL27 + 'Oct 25'!BL27 + 'Nov 25'!BL27+ 'Dec 25'!BL27 +'Jan 26'!BL27+'Feb 26'!BL27+'March 26'!BL27+'April 26'!BL27+'May 26'!BL27+'June 26'!BL27</f>
        <v>0</v>
      </c>
      <c r="BO27" s="7">
        <f>'July 25'!BM27 + 'August 25'!BM27 +'Sept 25'!BM27 + 'Oct 25'!BM27 + 'Nov 25'!BM27+ 'Dec 25'!BM27 +'Jan 26'!BM27+'Feb 26'!BM27+'March 26'!BM27+'April 26'!BM27+'May 26'!BM27+'June 26'!BM27</f>
        <v>0</v>
      </c>
      <c r="BP27" s="7">
        <f>'July 25'!BN27 + 'August 25'!BN27 +'Sept 25'!BN27 + 'Oct 25'!BN27 + 'Nov 25'!BN27+ 'Dec 25'!BN27 +'Jan 26'!BN27+'Feb 26'!BN27+'March 26'!BN27+'April 26'!BN27+'May 26'!BN27+'June 26'!BN27</f>
        <v>0</v>
      </c>
      <c r="BQ27" s="7">
        <f>'July 25'!BO27 + 'August 25'!BO27 +'Sept 25'!BO27 + 'Oct 25'!BO27 + 'Nov 25'!BO27+ 'Dec 25'!BO27 +'Jan 26'!BO27+'Feb 26'!BO27+'March 26'!BO27+'April 26'!BO27+'May 26'!BO27+'June 26'!BO27</f>
        <v>0</v>
      </c>
      <c r="BR27" s="7">
        <f>'July 25'!BP27 + 'August 25'!BP27 +'Sept 25'!BP27 + 'Oct 25'!BP27 + 'Nov 25'!BP27+ 'Dec 25'!BP27 +'Jan 26'!BP27+'Feb 26'!BP27+'March 26'!BP27+'April 26'!BP27+'May 26'!BP27+'June 26'!BP27</f>
        <v>0</v>
      </c>
      <c r="BS27" s="7">
        <f>'July 25'!BQ27 + 'August 25'!BQ27 +'Sept 25'!BQ27 + 'Oct 25'!BQ27 + 'Nov 25'!BQ27+ 'Dec 25'!BQ27 +'Jan 26'!BQ27+'Feb 26'!BQ27+'March 26'!BQ27+'April 26'!BQ27+'May 26'!BQ27+'June 26'!BQ27</f>
        <v>0</v>
      </c>
      <c r="BT27" s="7">
        <f>'July 25'!BR27 + 'August 25'!BR27 +'Sept 25'!BR27 + 'Oct 25'!BR27 + 'Nov 25'!BR27+ 'Dec 25'!BR27 +'Jan 26'!BR27+'Feb 26'!BR27+'March 26'!BR27+'April 26'!BR27+'May 26'!BR27+'June 26'!BR27</f>
        <v>0</v>
      </c>
      <c r="BU27" s="7">
        <f>'July 25'!BS27 + 'August 25'!BS27 +'Sept 25'!BS27 + 'Oct 25'!BS27 + 'Nov 25'!BS27+ 'Dec 25'!BS27 +'Jan 26'!BS27+'Feb 26'!BS27+'March 26'!BS27+'April 26'!BS27+'May 26'!BS27+'June 26'!BS27</f>
        <v>0</v>
      </c>
      <c r="BV27" s="7">
        <f>'July 25'!BT27 + 'August 25'!BT27 +'Sept 25'!BT27 + 'Oct 25'!BT27 + 'Nov 25'!BT27+ 'Dec 25'!BT27 +'Jan 26'!BT27+'Feb 26'!BT27+'March 26'!BT27+'April 26'!BT27+'May 26'!BT27+'June 26'!BT27</f>
        <v>0</v>
      </c>
      <c r="BW27" s="7">
        <f>'July 25'!BU27 + 'August 25'!BU27 +'Sept 25'!BU27 + 'Oct 25'!BU27 + 'Nov 25'!BU27+ 'Dec 25'!BU27 +'Jan 26'!BU27+'Feb 26'!BU27+'March 26'!BU27+'April 26'!BU27+'May 26'!BU27+'June 26'!BU27</f>
        <v>0</v>
      </c>
      <c r="BX27" s="7">
        <f>'July 25'!BV27 + 'August 25'!BV27 +'Sept 25'!BV27 + 'Oct 25'!BV27 + 'Nov 25'!BV27+ 'Dec 25'!BV27 +'Jan 26'!BV27+'Feb 26'!BV27+'March 26'!BV27+'April 26'!BV27+'May 26'!BV27+'June 26'!BV27</f>
        <v>0</v>
      </c>
      <c r="BY27" s="7">
        <f>'July 25'!BW27 + 'August 25'!BW27 +'Sept 25'!BW27 + 'Oct 25'!BW27 + 'Nov 25'!BW27+ 'Dec 25'!BW27 +'Jan 26'!BW27+'Feb 26'!BW27+'March 26'!BW27+'April 26'!BW27+'May 26'!BW27+'June 26'!BW27</f>
        <v>0</v>
      </c>
      <c r="BZ27" s="7">
        <f>'July 25'!BX27 + 'August 25'!BX27 +'Sept 25'!BX27 + 'Oct 25'!BX27 + 'Nov 25'!BX27+ 'Dec 25'!BX27 +'Jan 26'!BX27+'Feb 26'!BX27+'March 26'!BX27+'April 26'!BX27+'May 26'!BX27+'June 26'!BX27</f>
        <v>0</v>
      </c>
      <c r="CA27" s="7">
        <f>'July 25'!BY27 + 'August 25'!BY27 +'Sept 25'!BY27 + 'Oct 25'!BY27 + 'Nov 25'!BY27+ 'Dec 25'!BY27 +'Jan 26'!BY27+'Feb 26'!BY27+'March 26'!BY27+'April 26'!BY27+'May 26'!BY27+'June 26'!BY27</f>
        <v>0</v>
      </c>
      <c r="CB27" s="7">
        <f>'July 25'!BZ27 + 'August 25'!BZ27 +'Sept 25'!BZ27 + 'Oct 25'!BZ27 + 'Nov 25'!BZ27+ 'Dec 25'!BZ27 +'Jan 26'!BZ27+'Feb 26'!BZ27+'March 26'!BZ27+'April 26'!BZ27+'May 26'!BZ27+'June 26'!BZ27</f>
        <v>0</v>
      </c>
      <c r="CC27" s="7">
        <f>'July 25'!CA27 + 'August 25'!CA27 +'Sept 25'!CA27 + 'Oct 25'!CA27 + 'Nov 25'!CA27+ 'Dec 25'!CA27 +'Jan 26'!CA27+'Feb 26'!CA27+'March 26'!CA27+'April 26'!CA27+'May 26'!CA27+'June 26'!CA27</f>
        <v>0</v>
      </c>
      <c r="CD27" s="7">
        <f>'July 25'!CB27 + 'August 25'!CB27 +'Sept 25'!CB27 + 'Oct 25'!CB27 + 'Nov 25'!CB27+ 'Dec 25'!CB27 +'Jan 26'!CB27+'Feb 26'!CB27+'March 26'!CB27+'April 26'!CB27+'May 26'!CB27+'June 26'!CB27</f>
        <v>0</v>
      </c>
      <c r="CE27" s="7">
        <f>'July 25'!CC27 + 'August 25'!CC27 +'Sept 25'!CC27 + 'Oct 25'!CC27 + 'Nov 25'!CC27+ 'Dec 25'!CC27 +'Jan 26'!CC27+'Feb 26'!CC27+'March 26'!CC27+'April 26'!CC27+'May 26'!CC27+'June 26'!CC27</f>
        <v>0</v>
      </c>
      <c r="CF27" s="9" cm="1">
        <f t="array" ref="CF27">SUMPRODUCT(--(UPPER($F$2:$CE$2)="NET NEW"),$F27:$CE27)</f>
        <v>1440</v>
      </c>
      <c r="CG27" s="4">
        <f>SUMIF($F$2:$CE$2,"Enhance Existing",$F27:$CE27)</f>
        <v>0</v>
      </c>
      <c r="CH27" s="4">
        <f>SUMIF($F$2:$CE$2,"Maintenance",$F27:$CE27)</f>
        <v>0</v>
      </c>
    </row>
    <row r="28" spans="1:86" ht="15.95">
      <c r="A28" s="7" t="s">
        <v>41</v>
      </c>
      <c r="B28" s="7" t="s">
        <v>39</v>
      </c>
      <c r="C28" s="7" t="s">
        <v>69</v>
      </c>
      <c r="D28" s="12">
        <v>88</v>
      </c>
      <c r="E28" s="7"/>
      <c r="F28" s="7">
        <f>'July 25'!D28 + 'August 25'!D28 +'Sept 25'!D28 + 'Oct 25'!D28 + 'Nov 25'!D28+ 'Dec 25'!D28 +'Jan 26'!D28+'Feb 26'!D28+'March 26'!D28+'April 26'!D28+'May 26'!D28+'June 26'!D28</f>
        <v>1000</v>
      </c>
      <c r="G28" s="7">
        <f>'July 25'!E28 + 'August 25'!E28 +'Sept 25'!E28 + 'Oct 25'!E28 + 'Nov 25'!E28+ 'Dec 25'!E28 +'Jan 26'!E28+'Feb 26'!E28+'March 26'!E28+'April 26'!E28+'May 26'!E28+'June 26'!E28</f>
        <v>0</v>
      </c>
      <c r="H28" s="7">
        <f>'July 25'!F28 + 'August 25'!F28 +'Sept 25'!F28 + 'Oct 25'!F28 + 'Nov 25'!F28+ 'Dec 25'!F28 +'Jan 26'!F28+'Feb 26'!F28+'March 26'!F28+'April 26'!F28+'May 26'!F28+'June 26'!F28</f>
        <v>0</v>
      </c>
      <c r="I28" s="7">
        <f>'July 25'!G28 + 'August 25'!G28 +'Sept 25'!G28 + 'Oct 25'!G28 + 'Nov 25'!G28+ 'Dec 25'!G28 +'Jan 26'!G28+'Feb 26'!G28+'March 26'!G28+'April 26'!G28+'May 26'!G28+'June 26'!G28</f>
        <v>0</v>
      </c>
      <c r="J28" s="7">
        <f>'July 25'!H28 + 'August 25'!H28 +'Sept 25'!H28 + 'Oct 25'!H28 + 'Nov 25'!H28+ 'Dec 25'!H28 +'Jan 26'!H28+'Feb 26'!H28+'March 26'!H28+'April 26'!H28+'May 26'!H28+'June 26'!H28</f>
        <v>0</v>
      </c>
      <c r="K28" s="7">
        <f>'July 25'!I28 + 'August 25'!I28 +'Sept 25'!I28 + 'Oct 25'!I28 + 'Nov 25'!I28+ 'Dec 25'!I28 +'Jan 26'!I28+'Feb 26'!I28+'March 26'!I28+'April 26'!I28+'May 26'!I28+'June 26'!I28</f>
        <v>0</v>
      </c>
      <c r="L28" s="7">
        <f>'July 25'!J28 + 'August 25'!J28 +'Sept 25'!J28 + 'Oct 25'!J28 + 'Nov 25'!J28+ 'Dec 25'!J28 +'Jan 26'!J28+'Feb 26'!J28+'March 26'!J28+'April 26'!J28+'May 26'!J28+'June 26'!J28</f>
        <v>0</v>
      </c>
      <c r="M28" s="7">
        <f>'July 25'!K28 + 'August 25'!K28 +'Sept 25'!K28 + 'Oct 25'!K28 + 'Nov 25'!K28+ 'Dec 25'!K28 +'Jan 26'!K28+'Feb 26'!K28+'March 26'!K28+'April 26'!K28+'May 26'!K28+'June 26'!K28</f>
        <v>0</v>
      </c>
      <c r="N28" s="7">
        <f>'July 25'!L28 + 'August 25'!L28 +'Sept 25'!L28 + 'Oct 25'!L28 + 'Nov 25'!L28+ 'Dec 25'!L28 +'Jan 26'!L28+'Feb 26'!L28+'March 26'!L28+'April 26'!L28+'May 26'!L28+'June 26'!L28</f>
        <v>0</v>
      </c>
      <c r="O28" s="7">
        <f>'July 25'!M28 + 'August 25'!M28 +'Sept 25'!M28 + 'Oct 25'!M28 + 'Nov 25'!M28+ 'Dec 25'!M28 +'Jan 26'!M28+'Feb 26'!M28+'March 26'!M28+'April 26'!M28+'May 26'!M28+'June 26'!M28</f>
        <v>0</v>
      </c>
      <c r="P28" s="7">
        <f>'July 25'!N28 + 'August 25'!N28 +'Sept 25'!N28 + 'Oct 25'!N28 + 'Nov 25'!N28+ 'Dec 25'!N28 +'Jan 26'!N28+'Feb 26'!N28+'March 26'!N28+'April 26'!N28+'May 26'!N28+'June 26'!N28</f>
        <v>0</v>
      </c>
      <c r="Q28" s="7">
        <f>'July 25'!O28 + 'August 25'!O28 +'Sept 25'!O28 + 'Oct 25'!O28 + 'Nov 25'!O28+ 'Dec 25'!O28 +'Jan 26'!O28+'Feb 26'!O28+'March 26'!O28+'April 26'!O28+'May 26'!O28+'June 26'!O28</f>
        <v>0</v>
      </c>
      <c r="R28" s="7">
        <f>'July 25'!P28 + 'August 25'!P28 +'Sept 25'!P28 + 'Oct 25'!P28 + 'Nov 25'!P28+ 'Dec 25'!P28 +'Jan 26'!P28+'Feb 26'!P28+'March 26'!P28+'April 26'!P28+'May 26'!P28+'June 26'!P28</f>
        <v>0</v>
      </c>
      <c r="S28" s="7">
        <f>'July 25'!Q28 + 'August 25'!Q28 +'Sept 25'!Q28 + 'Oct 25'!Q28 + 'Nov 25'!Q28+ 'Dec 25'!Q28 +'Jan 26'!Q28+'Feb 26'!Q28+'March 26'!Q28+'April 26'!Q28+'May 26'!Q28+'June 26'!Q28</f>
        <v>0</v>
      </c>
      <c r="T28" s="7">
        <f>'July 25'!R28 + 'August 25'!R28 +'Sept 25'!R28 + 'Oct 25'!R28 + 'Nov 25'!R28+ 'Dec 25'!R28 +'Jan 26'!R28+'Feb 26'!R28+'March 26'!R28+'April 26'!R28+'May 26'!R28+'June 26'!R28</f>
        <v>0</v>
      </c>
      <c r="U28" s="7">
        <f>'July 25'!S28 + 'August 25'!S28 +'Sept 25'!S28 + 'Oct 25'!S28 + 'Nov 25'!S28+ 'Dec 25'!S28 +'Jan 26'!S28+'Feb 26'!S28+'March 26'!S28+'April 26'!S28+'May 26'!S28+'June 26'!S28</f>
        <v>0</v>
      </c>
      <c r="V28" s="7">
        <f>'July 25'!T28 + 'August 25'!T28 +'Sept 25'!T28 + 'Oct 25'!T28 + 'Nov 25'!T28+ 'Dec 25'!T28 +'Jan 26'!T28+'Feb 26'!T28+'March 26'!T28+'April 26'!T28+'May 26'!T28+'June 26'!T28</f>
        <v>0</v>
      </c>
      <c r="W28" s="7">
        <f>'July 25'!U28 + 'August 25'!U28 +'Sept 25'!U28 + 'Oct 25'!U28 + 'Nov 25'!U28+ 'Dec 25'!U28 +'Jan 26'!U28+'Feb 26'!U28+'March 26'!U28+'April 26'!U28+'May 26'!U28+'June 26'!U28</f>
        <v>0</v>
      </c>
      <c r="X28" s="7">
        <f>'July 25'!V28 + 'August 25'!V28 +'Sept 25'!V28 + 'Oct 25'!V28 + 'Nov 25'!V28+ 'Dec 25'!V28 +'Jan 26'!V28+'Feb 26'!V28+'March 26'!V28+'April 26'!V28+'May 26'!V28+'June 26'!V28</f>
        <v>0</v>
      </c>
      <c r="Y28" s="7">
        <f>'July 25'!W28 + 'August 25'!W28 +'Sept 25'!W28 + 'Oct 25'!W28 + 'Nov 25'!W28+ 'Dec 25'!W28 +'Jan 26'!W28+'Feb 26'!W28+'March 26'!W28+'April 26'!W28+'May 26'!W28+'June 26'!W28</f>
        <v>30</v>
      </c>
      <c r="Z28" s="7">
        <f>'July 25'!X28 + 'August 25'!X28 +'Sept 25'!X28 + 'Oct 25'!X28 + 'Nov 25'!X28+ 'Dec 25'!X28 +'Jan 26'!X28+'Feb 26'!X28+'March 26'!X28+'April 26'!X28+'May 26'!X28+'June 26'!X28</f>
        <v>50</v>
      </c>
      <c r="AA28" s="7">
        <f>'July 25'!Y28 + 'August 25'!Y28 +'Sept 25'!Y28 + 'Oct 25'!Y28 + 'Nov 25'!Y28+ 'Dec 25'!Y28 +'Jan 26'!Y28+'Feb 26'!Y28+'March 26'!Y28+'April 26'!Y28+'May 26'!Y28+'June 26'!Y28</f>
        <v>0</v>
      </c>
      <c r="AB28" s="7">
        <f>'July 25'!Z28 + 'August 25'!Z28 +'Sept 25'!Z28 + 'Oct 25'!Z28 + 'Nov 25'!Z28+ 'Dec 25'!Z28 +'Jan 26'!Z28+'Feb 26'!Z28+'March 26'!Z28+'April 26'!Z28+'May 26'!Z28+'June 26'!Z28</f>
        <v>60</v>
      </c>
      <c r="AC28" s="7">
        <f>'July 25'!AA28 + 'August 25'!AA28 +'Sept 25'!AA28 + 'Oct 25'!AA28 + 'Nov 25'!AA28+ 'Dec 25'!AA28 +'Jan 26'!AA28+'Feb 26'!AA28+'March 26'!AA28+'April 26'!AA28+'May 26'!AA28+'June 26'!AA28</f>
        <v>300</v>
      </c>
      <c r="AD28" s="7">
        <f>'July 25'!AB28 + 'August 25'!AB28 +'Sept 25'!AB28 + 'Oct 25'!AB28 + 'Nov 25'!AB28+ 'Dec 25'!AB28 +'Jan 26'!AB28+'Feb 26'!AB28+'March 26'!AB28+'April 26'!AB28+'May 26'!AB28+'June 26'!AB28</f>
        <v>0</v>
      </c>
      <c r="AE28" s="7">
        <f>'July 25'!AC28 + 'August 25'!AC28 +'Sept 25'!AC28 + 'Oct 25'!AC28 + 'Nov 25'!AC28+ 'Dec 25'!AC28 +'Jan 26'!AC28+'Feb 26'!AC28+'March 26'!AC28+'April 26'!AC28+'May 26'!AC28+'June 26'!AC28</f>
        <v>0</v>
      </c>
      <c r="AF28" s="7">
        <f>'July 25'!AD28 + 'August 25'!AD28 +'Sept 25'!AD28 + 'Oct 25'!AD28 + 'Nov 25'!AD28+ 'Dec 25'!AD28 +'Jan 26'!AD28+'Feb 26'!AD28+'March 26'!AD28+'April 26'!AD28+'May 26'!AD28+'June 26'!AD28</f>
        <v>0</v>
      </c>
      <c r="AG28" s="7">
        <f>'July 25'!AE28 + 'August 25'!AE28 +'Sept 25'!AE28 + 'Oct 25'!AE28 + 'Nov 25'!AE28+ 'Dec 25'!AE28 +'Jan 26'!AE28+'Feb 26'!AE28+'March 26'!AE28+'April 26'!AE28+'May 26'!AE28+'June 26'!AE28</f>
        <v>0</v>
      </c>
      <c r="AH28" s="7">
        <f>'July 25'!AF28 + 'August 25'!AF28 +'Sept 25'!AF28 + 'Oct 25'!AF28 + 'Nov 25'!AF28+ 'Dec 25'!AF28 +'Jan 26'!AF28+'Feb 26'!AF28+'March 26'!AF28+'April 26'!AF28+'May 26'!AF28+'June 26'!AF28</f>
        <v>0</v>
      </c>
      <c r="AI28" s="7">
        <f>'July 25'!AG28 + 'August 25'!AG28 +'Sept 25'!AG28 + 'Oct 25'!AG28 + 'Nov 25'!AG28+ 'Dec 25'!AG28 +'Jan 26'!AG28+'Feb 26'!AG28+'March 26'!AG28+'April 26'!AG28+'May 26'!AG28+'June 26'!AG28</f>
        <v>0</v>
      </c>
      <c r="AJ28" s="7">
        <f>'July 25'!AH28 + 'August 25'!AH28 +'Sept 25'!AH28 + 'Oct 25'!AH28 + 'Nov 25'!AH28+ 'Dec 25'!AH28 +'Jan 26'!AH28+'Feb 26'!AH28+'March 26'!AH28+'April 26'!AH28+'May 26'!AH28+'June 26'!AH28</f>
        <v>0</v>
      </c>
      <c r="AK28" s="7">
        <f>'July 25'!AI28 + 'August 25'!AI28 +'Sept 25'!AI28 + 'Oct 25'!AI28 + 'Nov 25'!AI28+ 'Dec 25'!AI28 +'Jan 26'!AI28+'Feb 26'!AI28+'March 26'!AI28+'April 26'!AI28+'May 26'!AI28+'June 26'!AI28</f>
        <v>0</v>
      </c>
      <c r="AL28" s="7">
        <f>'July 25'!AJ28 + 'August 25'!AJ28 +'Sept 25'!AJ28 + 'Oct 25'!AJ28 + 'Nov 25'!AJ28+ 'Dec 25'!AJ28 +'Jan 26'!AJ28+'Feb 26'!AJ28+'March 26'!AJ28+'April 26'!AJ28+'May 26'!AJ28+'June 26'!AJ28</f>
        <v>0</v>
      </c>
      <c r="AM28" s="7">
        <f>'July 25'!AK28 + 'August 25'!AK28 +'Sept 25'!AK28 + 'Oct 25'!AK28 + 'Nov 25'!AK28+ 'Dec 25'!AK28 +'Jan 26'!AK28+'Feb 26'!AK28+'March 26'!AK28+'April 26'!AK28+'May 26'!AK28+'June 26'!AK28</f>
        <v>0</v>
      </c>
      <c r="AN28" s="7">
        <f>'July 25'!AL28 + 'August 25'!AL28 +'Sept 25'!AL28 + 'Oct 25'!AL28 + 'Nov 25'!AL28+ 'Dec 25'!AL28 +'Jan 26'!AL28+'Feb 26'!AL28+'March 26'!AL28+'April 26'!AL28+'May 26'!AL28+'June 26'!AL28</f>
        <v>0</v>
      </c>
      <c r="AO28" s="7">
        <f>'July 25'!AM28 + 'August 25'!AM28 +'Sept 25'!AM28 + 'Oct 25'!AM28 + 'Nov 25'!AM28+ 'Dec 25'!AM28 +'Jan 26'!AM28+'Feb 26'!AM28+'March 26'!AM28+'April 26'!AM28+'May 26'!AM28+'June 26'!AM28</f>
        <v>0</v>
      </c>
      <c r="AP28" s="7">
        <f>'July 25'!AN28 + 'August 25'!AN28 +'Sept 25'!AN28 + 'Oct 25'!AN28 + 'Nov 25'!AN28+ 'Dec 25'!AN28 +'Jan 26'!AN28+'Feb 26'!AN28+'March 26'!AN28+'April 26'!AN28+'May 26'!AN28+'June 26'!AN28</f>
        <v>0</v>
      </c>
      <c r="AQ28" s="7">
        <f>'July 25'!AO28 + 'August 25'!AO28 +'Sept 25'!AO28 + 'Oct 25'!AO28 + 'Nov 25'!AO28+ 'Dec 25'!AO28 +'Jan 26'!AO28+'Feb 26'!AO28+'March 26'!AO28+'April 26'!AO28+'May 26'!AO28+'June 26'!AO28</f>
        <v>0</v>
      </c>
      <c r="AR28" s="7">
        <f>'July 25'!AP28 + 'August 25'!AP28 +'Sept 25'!AP28 + 'Oct 25'!AP28 + 'Nov 25'!AP28+ 'Dec 25'!AP28 +'Jan 26'!AP28+'Feb 26'!AP28+'March 26'!AP28+'April 26'!AP28+'May 26'!AP28+'June 26'!AP28</f>
        <v>0</v>
      </c>
      <c r="AS28" s="7">
        <f>'July 25'!AQ28 + 'August 25'!AQ28 +'Sept 25'!AQ28 + 'Oct 25'!AQ28 + 'Nov 25'!AQ28+ 'Dec 25'!AQ28 +'Jan 26'!AQ28+'Feb 26'!AQ28+'March 26'!AQ28+'April 26'!AQ28+'May 26'!AQ28+'June 26'!AQ28</f>
        <v>0</v>
      </c>
      <c r="AT28" s="7">
        <f>'July 25'!AR28 + 'August 25'!AR28 +'Sept 25'!AR28 + 'Oct 25'!AR28 + 'Nov 25'!AR28+ 'Dec 25'!AR28 +'Jan 26'!AR28+'Feb 26'!AR28+'March 26'!AR28+'April 26'!AR28+'May 26'!AR28+'June 26'!AR28</f>
        <v>0</v>
      </c>
      <c r="AU28" s="7">
        <f>'July 25'!AS28 + 'August 25'!AS28 +'Sept 25'!AS28 + 'Oct 25'!AS28 + 'Nov 25'!AS28+ 'Dec 25'!AS28 +'Jan 26'!AS28+'Feb 26'!AS28+'March 26'!AS28+'April 26'!AS28+'May 26'!AS28+'June 26'!AS28</f>
        <v>0</v>
      </c>
      <c r="AV28" s="7">
        <f>'July 25'!AT28 + 'August 25'!AT28 +'Sept 25'!AT28 + 'Oct 25'!AT28 + 'Nov 25'!AT28+ 'Dec 25'!AT28 +'Jan 26'!AT28+'Feb 26'!AT28+'March 26'!AT28+'April 26'!AT28+'May 26'!AT28+'June 26'!AT28</f>
        <v>0</v>
      </c>
      <c r="AW28" s="7">
        <f>'July 25'!AU28 + 'August 25'!AU28 +'Sept 25'!AU28 + 'Oct 25'!AU28 + 'Nov 25'!AU28+ 'Dec 25'!AU28 +'Jan 26'!AU28+'Feb 26'!AU28+'March 26'!AU28+'April 26'!AU28+'May 26'!AU28+'June 26'!AU28</f>
        <v>0</v>
      </c>
      <c r="AX28" s="7">
        <f>'July 25'!AV28 + 'August 25'!AV28 +'Sept 25'!AV28 + 'Oct 25'!AV28 + 'Nov 25'!AV28+ 'Dec 25'!AV28 +'Jan 26'!AV28+'Feb 26'!AV28+'March 26'!AV28+'April 26'!AV28+'May 26'!AV28+'June 26'!AV28</f>
        <v>0</v>
      </c>
      <c r="AY28" s="7">
        <f>'July 25'!AW28 + 'August 25'!AW28 +'Sept 25'!AW28 + 'Oct 25'!AW28 + 'Nov 25'!AW28+ 'Dec 25'!AW28 +'Jan 26'!AW28+'Feb 26'!AW28+'March 26'!AW28+'April 26'!AW28+'May 26'!AW28+'June 26'!AW28</f>
        <v>0</v>
      </c>
      <c r="AZ28" s="7">
        <f>'July 25'!AX28 + 'August 25'!AX28 +'Sept 25'!AX28 + 'Oct 25'!AX28 + 'Nov 25'!AX28+ 'Dec 25'!AX28 +'Jan 26'!AX28+'Feb 26'!AX28+'March 26'!AX28+'April 26'!AX28+'May 26'!AX28+'June 26'!AX28</f>
        <v>0</v>
      </c>
      <c r="BA28" s="7">
        <f>'July 25'!AY28 + 'August 25'!AY28 +'Sept 25'!AY28 + 'Oct 25'!AY28 + 'Nov 25'!AY28+ 'Dec 25'!AY28 +'Jan 26'!AY28+'Feb 26'!AY28+'March 26'!AY28+'April 26'!AY28+'May 26'!AY28+'June 26'!AY28</f>
        <v>0</v>
      </c>
      <c r="BB28" s="7">
        <f>'July 25'!AZ28 + 'August 25'!AZ28 +'Sept 25'!AZ28 + 'Oct 25'!AZ28 + 'Nov 25'!AZ28+ 'Dec 25'!AZ28 +'Jan 26'!AZ28+'Feb 26'!AZ28+'March 26'!AZ28+'April 26'!AZ28+'May 26'!AZ28+'June 26'!AZ28</f>
        <v>0</v>
      </c>
      <c r="BC28" s="7">
        <f>'July 25'!BA28 + 'August 25'!BA28 +'Sept 25'!BA28 + 'Oct 25'!BA28 + 'Nov 25'!BA28+ 'Dec 25'!BA28 +'Jan 26'!BA28+'Feb 26'!BA28+'March 26'!BA28+'April 26'!BA28+'May 26'!BA28+'June 26'!BA28</f>
        <v>0</v>
      </c>
      <c r="BD28" s="7">
        <f>'July 25'!BB28 + 'August 25'!BB28 +'Sept 25'!BB28 + 'Oct 25'!BB28 + 'Nov 25'!BB28+ 'Dec 25'!BB28 +'Jan 26'!BB28+'Feb 26'!BB28+'March 26'!BB28+'April 26'!BB28+'May 26'!BB28+'June 26'!BB28</f>
        <v>0</v>
      </c>
      <c r="BE28" s="7">
        <f>'July 25'!BC28 + 'August 25'!BC28 +'Sept 25'!BC28 + 'Oct 25'!BC28 + 'Nov 25'!BC28+ 'Dec 25'!BC28 +'Jan 26'!BC28+'Feb 26'!BC28+'March 26'!BC28+'April 26'!BC28+'May 26'!BC28+'June 26'!BC28</f>
        <v>0</v>
      </c>
      <c r="BF28" s="7">
        <f>'July 25'!BD28 + 'August 25'!BD28 +'Sept 25'!BD28 + 'Oct 25'!BD28 + 'Nov 25'!BD28+ 'Dec 25'!BD28 +'Jan 26'!BD28+'Feb 26'!BD28+'March 26'!BD28+'April 26'!BD28+'May 26'!BD28+'June 26'!BD28</f>
        <v>0</v>
      </c>
      <c r="BG28" s="7">
        <f>'July 25'!BE28 + 'August 25'!BE28 +'Sept 25'!BE28 + 'Oct 25'!BE28 + 'Nov 25'!BE28+ 'Dec 25'!BE28 +'Jan 26'!BE28+'Feb 26'!BE28+'March 26'!BE28+'April 26'!BE28+'May 26'!BE28+'June 26'!BE28</f>
        <v>0</v>
      </c>
      <c r="BH28" s="7">
        <f>'July 25'!BF28 + 'August 25'!BF28 +'Sept 25'!BF28 + 'Oct 25'!BF28 + 'Nov 25'!BF28+ 'Dec 25'!BF28 +'Jan 26'!BF28+'Feb 26'!BF28+'March 26'!BF28+'April 26'!BF28+'May 26'!BF28+'June 26'!BF28</f>
        <v>0</v>
      </c>
      <c r="BI28" s="7">
        <f>'July 25'!BG28 + 'August 25'!BG28 +'Sept 25'!BG28 + 'Oct 25'!BG28 + 'Nov 25'!BG28+ 'Dec 25'!BG28 +'Jan 26'!BG28+'Feb 26'!BG28+'March 26'!BG28+'April 26'!BG28+'May 26'!BG28+'June 26'!BG28</f>
        <v>0</v>
      </c>
      <c r="BJ28" s="7">
        <f>'July 25'!BH28 + 'August 25'!BH28 +'Sept 25'!BH28 + 'Oct 25'!BH28 + 'Nov 25'!BH28+ 'Dec 25'!BH28 +'Jan 26'!BH28+'Feb 26'!BH28+'March 26'!BH28+'April 26'!BH28+'May 26'!BH28+'June 26'!BH28</f>
        <v>0</v>
      </c>
      <c r="BK28" s="7">
        <f>'July 25'!BI28 + 'August 25'!BI28 +'Sept 25'!BI28 + 'Oct 25'!BI28 + 'Nov 25'!BI28+ 'Dec 25'!BI28 +'Jan 26'!BI28+'Feb 26'!BI28+'March 26'!BI28+'April 26'!BI28+'May 26'!BI28+'June 26'!BI28</f>
        <v>0</v>
      </c>
      <c r="BL28" s="7">
        <f>'July 25'!BJ28 + 'August 25'!BJ28 +'Sept 25'!BJ28 + 'Oct 25'!BJ28 + 'Nov 25'!BJ28+ 'Dec 25'!BJ28 +'Jan 26'!BJ28+'Feb 26'!BJ28+'March 26'!BJ28+'April 26'!BJ28+'May 26'!BJ28+'June 26'!BJ28</f>
        <v>0</v>
      </c>
      <c r="BM28" s="7">
        <f>'July 25'!BK28 + 'August 25'!BK28 +'Sept 25'!BK28 + 'Oct 25'!BK28 + 'Nov 25'!BK28+ 'Dec 25'!BK28 +'Jan 26'!BK28+'Feb 26'!BK28+'March 26'!BK28+'April 26'!BK28+'May 26'!BK28+'June 26'!BK28</f>
        <v>0</v>
      </c>
      <c r="BN28" s="7">
        <f>'July 25'!BL28 + 'August 25'!BL28 +'Sept 25'!BL28 + 'Oct 25'!BL28 + 'Nov 25'!BL28+ 'Dec 25'!BL28 +'Jan 26'!BL28+'Feb 26'!BL28+'March 26'!BL28+'April 26'!BL28+'May 26'!BL28+'June 26'!BL28</f>
        <v>0</v>
      </c>
      <c r="BO28" s="7">
        <f>'July 25'!BM28 + 'August 25'!BM28 +'Sept 25'!BM28 + 'Oct 25'!BM28 + 'Nov 25'!BM28+ 'Dec 25'!BM28 +'Jan 26'!BM28+'Feb 26'!BM28+'March 26'!BM28+'April 26'!BM28+'May 26'!BM28+'June 26'!BM28</f>
        <v>0</v>
      </c>
      <c r="BP28" s="7">
        <f>'July 25'!BN28 + 'August 25'!BN28 +'Sept 25'!BN28 + 'Oct 25'!BN28 + 'Nov 25'!BN28+ 'Dec 25'!BN28 +'Jan 26'!BN28+'Feb 26'!BN28+'March 26'!BN28+'April 26'!BN28+'May 26'!BN28+'June 26'!BN28</f>
        <v>0</v>
      </c>
      <c r="BQ28" s="7">
        <f>'July 25'!BO28 + 'August 25'!BO28 +'Sept 25'!BO28 + 'Oct 25'!BO28 + 'Nov 25'!BO28+ 'Dec 25'!BO28 +'Jan 26'!BO28+'Feb 26'!BO28+'March 26'!BO28+'April 26'!BO28+'May 26'!BO28+'June 26'!BO28</f>
        <v>0</v>
      </c>
      <c r="BR28" s="7">
        <f>'July 25'!BP28 + 'August 25'!BP28 +'Sept 25'!BP28 + 'Oct 25'!BP28 + 'Nov 25'!BP28+ 'Dec 25'!BP28 +'Jan 26'!BP28+'Feb 26'!BP28+'March 26'!BP28+'April 26'!BP28+'May 26'!BP28+'June 26'!BP28</f>
        <v>0</v>
      </c>
      <c r="BS28" s="7">
        <f>'July 25'!BQ28 + 'August 25'!BQ28 +'Sept 25'!BQ28 + 'Oct 25'!BQ28 + 'Nov 25'!BQ28+ 'Dec 25'!BQ28 +'Jan 26'!BQ28+'Feb 26'!BQ28+'March 26'!BQ28+'April 26'!BQ28+'May 26'!BQ28+'June 26'!BQ28</f>
        <v>0</v>
      </c>
      <c r="BT28" s="7">
        <f>'July 25'!BR28 + 'August 25'!BR28 +'Sept 25'!BR28 + 'Oct 25'!BR28 + 'Nov 25'!BR28+ 'Dec 25'!BR28 +'Jan 26'!BR28+'Feb 26'!BR28+'March 26'!BR28+'April 26'!BR28+'May 26'!BR28+'June 26'!BR28</f>
        <v>0</v>
      </c>
      <c r="BU28" s="7">
        <f>'July 25'!BS28 + 'August 25'!BS28 +'Sept 25'!BS28 + 'Oct 25'!BS28 + 'Nov 25'!BS28+ 'Dec 25'!BS28 +'Jan 26'!BS28+'Feb 26'!BS28+'March 26'!BS28+'April 26'!BS28+'May 26'!BS28+'June 26'!BS28</f>
        <v>0</v>
      </c>
      <c r="BV28" s="7">
        <f>'July 25'!BT28 + 'August 25'!BT28 +'Sept 25'!BT28 + 'Oct 25'!BT28 + 'Nov 25'!BT28+ 'Dec 25'!BT28 +'Jan 26'!BT28+'Feb 26'!BT28+'March 26'!BT28+'April 26'!BT28+'May 26'!BT28+'June 26'!BT28</f>
        <v>0</v>
      </c>
      <c r="BW28" s="7">
        <f>'July 25'!BU28 + 'August 25'!BU28 +'Sept 25'!BU28 + 'Oct 25'!BU28 + 'Nov 25'!BU28+ 'Dec 25'!BU28 +'Jan 26'!BU28+'Feb 26'!BU28+'March 26'!BU28+'April 26'!BU28+'May 26'!BU28+'June 26'!BU28</f>
        <v>0</v>
      </c>
      <c r="BX28" s="7">
        <f>'July 25'!BV28 + 'August 25'!BV28 +'Sept 25'!BV28 + 'Oct 25'!BV28 + 'Nov 25'!BV28+ 'Dec 25'!BV28 +'Jan 26'!BV28+'Feb 26'!BV28+'March 26'!BV28+'April 26'!BV28+'May 26'!BV28+'June 26'!BV28</f>
        <v>0</v>
      </c>
      <c r="BY28" s="7">
        <f>'July 25'!BW28 + 'August 25'!BW28 +'Sept 25'!BW28 + 'Oct 25'!BW28 + 'Nov 25'!BW28+ 'Dec 25'!BW28 +'Jan 26'!BW28+'Feb 26'!BW28+'March 26'!BW28+'April 26'!BW28+'May 26'!BW28+'June 26'!BW28</f>
        <v>0</v>
      </c>
      <c r="BZ28" s="7">
        <f>'July 25'!BX28 + 'August 25'!BX28 +'Sept 25'!BX28 + 'Oct 25'!BX28 + 'Nov 25'!BX28+ 'Dec 25'!BX28 +'Jan 26'!BX28+'Feb 26'!BX28+'March 26'!BX28+'April 26'!BX28+'May 26'!BX28+'June 26'!BX28</f>
        <v>0</v>
      </c>
      <c r="CA28" s="7">
        <f>'July 25'!BY28 + 'August 25'!BY28 +'Sept 25'!BY28 + 'Oct 25'!BY28 + 'Nov 25'!BY28+ 'Dec 25'!BY28 +'Jan 26'!BY28+'Feb 26'!BY28+'March 26'!BY28+'April 26'!BY28+'May 26'!BY28+'June 26'!BY28</f>
        <v>0</v>
      </c>
      <c r="CB28" s="7">
        <f>'July 25'!BZ28 + 'August 25'!BZ28 +'Sept 25'!BZ28 + 'Oct 25'!BZ28 + 'Nov 25'!BZ28+ 'Dec 25'!BZ28 +'Jan 26'!BZ28+'Feb 26'!BZ28+'March 26'!BZ28+'April 26'!BZ28+'May 26'!BZ28+'June 26'!BZ28</f>
        <v>0</v>
      </c>
      <c r="CC28" s="7">
        <f>'July 25'!CA28 + 'August 25'!CA28 +'Sept 25'!CA28 + 'Oct 25'!CA28 + 'Nov 25'!CA28+ 'Dec 25'!CA28 +'Jan 26'!CA28+'Feb 26'!CA28+'March 26'!CA28+'April 26'!CA28+'May 26'!CA28+'June 26'!CA28</f>
        <v>0</v>
      </c>
      <c r="CD28" s="7">
        <f>'July 25'!CB28 + 'August 25'!CB28 +'Sept 25'!CB28 + 'Oct 25'!CB28 + 'Nov 25'!CB28+ 'Dec 25'!CB28 +'Jan 26'!CB28+'Feb 26'!CB28+'March 26'!CB28+'April 26'!CB28+'May 26'!CB28+'June 26'!CB28</f>
        <v>0</v>
      </c>
      <c r="CE28" s="7">
        <f>'July 25'!CC28 + 'August 25'!CC28 +'Sept 25'!CC28 + 'Oct 25'!CC28 + 'Nov 25'!CC28+ 'Dec 25'!CC28 +'Jan 26'!CC28+'Feb 26'!CC28+'March 26'!CC28+'April 26'!CC28+'May 26'!CC28+'June 26'!CC28</f>
        <v>0</v>
      </c>
      <c r="CF28" s="9" cm="1">
        <f t="array" ref="CF28">SUMPRODUCT(--(UPPER($F$2:$CE$2)="NET NEW"),$F28:$CE28)</f>
        <v>1000</v>
      </c>
      <c r="CG28" s="4">
        <f>SUMIF($F$2:$CE$2,"Enhance Existing",$F28:$CE28)</f>
        <v>90</v>
      </c>
      <c r="CH28" s="4">
        <f>SUMIF($F$2:$CE$2,"Maintenance",$F28:$CE28)</f>
        <v>350</v>
      </c>
    </row>
    <row r="29" spans="1:86" ht="15.95">
      <c r="A29" s="7" t="s">
        <v>70</v>
      </c>
      <c r="B29" s="7" t="s">
        <v>39</v>
      </c>
      <c r="C29" s="7" t="s">
        <v>71</v>
      </c>
      <c r="D29" s="12">
        <v>148.125</v>
      </c>
      <c r="E29" s="7"/>
      <c r="F29" s="7">
        <f>'July 25'!D29 + 'August 25'!D29 +'Sept 25'!D29 + 'Oct 25'!D29 + 'Nov 25'!D29+ 'Dec 25'!D29 +'Jan 26'!D29+'Feb 26'!D29+'March 26'!D29+'April 26'!D29+'May 26'!D29+'June 26'!D29</f>
        <v>0</v>
      </c>
      <c r="G29" s="7">
        <f>'July 25'!E29 + 'August 25'!E29 +'Sept 25'!E29 + 'Oct 25'!E29 + 'Nov 25'!E29+ 'Dec 25'!E29 +'Jan 26'!E29+'Feb 26'!E29+'March 26'!E29+'April 26'!E29+'May 26'!E29+'June 26'!E29</f>
        <v>0</v>
      </c>
      <c r="H29" s="7">
        <f>'July 25'!F29 + 'August 25'!F29 +'Sept 25'!F29 + 'Oct 25'!F29 + 'Nov 25'!F29+ 'Dec 25'!F29 +'Jan 26'!F29+'Feb 26'!F29+'March 26'!F29+'April 26'!F29+'May 26'!F29+'June 26'!F29</f>
        <v>0</v>
      </c>
      <c r="I29" s="7">
        <f>'July 25'!G29 + 'August 25'!G29 +'Sept 25'!G29 + 'Oct 25'!G29 + 'Nov 25'!G29+ 'Dec 25'!G29 +'Jan 26'!G29+'Feb 26'!G29+'March 26'!G29+'April 26'!G29+'May 26'!G29+'June 26'!G29</f>
        <v>0</v>
      </c>
      <c r="J29" s="7">
        <f>'July 25'!H29 + 'August 25'!H29 +'Sept 25'!H29 + 'Oct 25'!H29 + 'Nov 25'!H29+ 'Dec 25'!H29 +'Jan 26'!H29+'Feb 26'!H29+'March 26'!H29+'April 26'!H29+'May 26'!H29+'June 26'!H29</f>
        <v>0</v>
      </c>
      <c r="K29" s="7">
        <f>'July 25'!I29 + 'August 25'!I29 +'Sept 25'!I29 + 'Oct 25'!I29 + 'Nov 25'!I29+ 'Dec 25'!I29 +'Jan 26'!I29+'Feb 26'!I29+'March 26'!I29+'April 26'!I29+'May 26'!I29+'June 26'!I29</f>
        <v>0</v>
      </c>
      <c r="L29" s="7">
        <f>'July 25'!J29 + 'August 25'!J29 +'Sept 25'!J29 + 'Oct 25'!J29 + 'Nov 25'!J29+ 'Dec 25'!J29 +'Jan 26'!J29+'Feb 26'!J29+'March 26'!J29+'April 26'!J29+'May 26'!J29+'June 26'!J29</f>
        <v>0</v>
      </c>
      <c r="M29" s="7">
        <f>'July 25'!K29 + 'August 25'!K29 +'Sept 25'!K29 + 'Oct 25'!K29 + 'Nov 25'!K29+ 'Dec 25'!K29 +'Jan 26'!K29+'Feb 26'!K29+'March 26'!K29+'April 26'!K29+'May 26'!K29+'June 26'!K29</f>
        <v>0</v>
      </c>
      <c r="N29" s="7">
        <f>'July 25'!L29 + 'August 25'!L29 +'Sept 25'!L29 + 'Oct 25'!L29 + 'Nov 25'!L29+ 'Dec 25'!L29 +'Jan 26'!L29+'Feb 26'!L29+'March 26'!L29+'April 26'!L29+'May 26'!L29+'June 26'!L29</f>
        <v>0</v>
      </c>
      <c r="O29" s="7">
        <f>'July 25'!M29 + 'August 25'!M29 +'Sept 25'!M29 + 'Oct 25'!M29 + 'Nov 25'!M29+ 'Dec 25'!M29 +'Jan 26'!M29+'Feb 26'!M29+'March 26'!M29+'April 26'!M29+'May 26'!M29+'June 26'!M29</f>
        <v>0</v>
      </c>
      <c r="P29" s="7">
        <f>'July 25'!N29 + 'August 25'!N29 +'Sept 25'!N29 + 'Oct 25'!N29 + 'Nov 25'!N29+ 'Dec 25'!N29 +'Jan 26'!N29+'Feb 26'!N29+'March 26'!N29+'April 26'!N29+'May 26'!N29+'June 26'!N29</f>
        <v>0</v>
      </c>
      <c r="Q29" s="7">
        <f>'July 25'!O29 + 'August 25'!O29 +'Sept 25'!O29 + 'Oct 25'!O29 + 'Nov 25'!O29+ 'Dec 25'!O29 +'Jan 26'!O29+'Feb 26'!O29+'March 26'!O29+'April 26'!O29+'May 26'!O29+'June 26'!O29</f>
        <v>0</v>
      </c>
      <c r="R29" s="7">
        <f>'July 25'!P29 + 'August 25'!P29 +'Sept 25'!P29 + 'Oct 25'!P29 + 'Nov 25'!P29+ 'Dec 25'!P29 +'Jan 26'!P29+'Feb 26'!P29+'March 26'!P29+'April 26'!P29+'May 26'!P29+'June 26'!P29</f>
        <v>0</v>
      </c>
      <c r="S29" s="7">
        <f>'July 25'!Q29 + 'August 25'!Q29 +'Sept 25'!Q29 + 'Oct 25'!Q29 + 'Nov 25'!Q29+ 'Dec 25'!Q29 +'Jan 26'!Q29+'Feb 26'!Q29+'March 26'!Q29+'April 26'!Q29+'May 26'!Q29+'June 26'!Q29</f>
        <v>0</v>
      </c>
      <c r="T29" s="7">
        <f>'July 25'!R29 + 'August 25'!R29 +'Sept 25'!R29 + 'Oct 25'!R29 + 'Nov 25'!R29+ 'Dec 25'!R29 +'Jan 26'!R29+'Feb 26'!R29+'March 26'!R29+'April 26'!R29+'May 26'!R29+'June 26'!R29</f>
        <v>0</v>
      </c>
      <c r="U29" s="7">
        <f>'July 25'!S29 + 'August 25'!S29 +'Sept 25'!S29 + 'Oct 25'!S29 + 'Nov 25'!S29+ 'Dec 25'!S29 +'Jan 26'!S29+'Feb 26'!S29+'March 26'!S29+'April 26'!S29+'May 26'!S29+'June 26'!S29</f>
        <v>0</v>
      </c>
      <c r="V29" s="7">
        <f>'July 25'!T29 + 'August 25'!T29 +'Sept 25'!T29 + 'Oct 25'!T29 + 'Nov 25'!T29+ 'Dec 25'!T29 +'Jan 26'!T29+'Feb 26'!T29+'March 26'!T29+'April 26'!T29+'May 26'!T29+'June 26'!T29</f>
        <v>0</v>
      </c>
      <c r="W29" s="7">
        <f>'July 25'!U29 + 'August 25'!U29 +'Sept 25'!U29 + 'Oct 25'!U29 + 'Nov 25'!U29+ 'Dec 25'!U29 +'Jan 26'!U29+'Feb 26'!U29+'March 26'!U29+'April 26'!U29+'May 26'!U29+'June 26'!U29</f>
        <v>0</v>
      </c>
      <c r="X29" s="7">
        <f>'July 25'!V29 + 'August 25'!V29 +'Sept 25'!V29 + 'Oct 25'!V29 + 'Nov 25'!V29+ 'Dec 25'!V29 +'Jan 26'!V29+'Feb 26'!V29+'March 26'!V29+'April 26'!V29+'May 26'!V29+'June 26'!V29</f>
        <v>0</v>
      </c>
      <c r="Y29" s="7">
        <f>'July 25'!W29 + 'August 25'!W29 +'Sept 25'!W29 + 'Oct 25'!W29 + 'Nov 25'!W29+ 'Dec 25'!W29 +'Jan 26'!W29+'Feb 26'!W29+'March 26'!W29+'April 26'!W29+'May 26'!W29+'June 26'!W29</f>
        <v>0</v>
      </c>
      <c r="Z29" s="7">
        <f>'July 25'!X29 + 'August 25'!X29 +'Sept 25'!X29 + 'Oct 25'!X29 + 'Nov 25'!X29+ 'Dec 25'!X29 +'Jan 26'!X29+'Feb 26'!X29+'March 26'!X29+'April 26'!X29+'May 26'!X29+'June 26'!X29</f>
        <v>0</v>
      </c>
      <c r="AA29" s="7">
        <f>'July 25'!Y29 + 'August 25'!Y29 +'Sept 25'!Y29 + 'Oct 25'!Y29 + 'Nov 25'!Y29+ 'Dec 25'!Y29 +'Jan 26'!Y29+'Feb 26'!Y29+'March 26'!Y29+'April 26'!Y29+'May 26'!Y29+'June 26'!Y29</f>
        <v>0</v>
      </c>
      <c r="AB29" s="7">
        <f>'July 25'!Z29 + 'August 25'!Z29 +'Sept 25'!Z29 + 'Oct 25'!Z29 + 'Nov 25'!Z29+ 'Dec 25'!Z29 +'Jan 26'!Z29+'Feb 26'!Z29+'March 26'!Z29+'April 26'!Z29+'May 26'!Z29+'June 26'!Z29</f>
        <v>0</v>
      </c>
      <c r="AC29" s="7">
        <f>'July 25'!AA29 + 'August 25'!AA29 +'Sept 25'!AA29 + 'Oct 25'!AA29 + 'Nov 25'!AA29+ 'Dec 25'!AA29 +'Jan 26'!AA29+'Feb 26'!AA29+'March 26'!AA29+'April 26'!AA29+'May 26'!AA29+'June 26'!AA29</f>
        <v>0</v>
      </c>
      <c r="AD29" s="7">
        <f>'July 25'!AB29 + 'August 25'!AB29 +'Sept 25'!AB29 + 'Oct 25'!AB29 + 'Nov 25'!AB29+ 'Dec 25'!AB29 +'Jan 26'!AB29+'Feb 26'!AB29+'March 26'!AB29+'April 26'!AB29+'May 26'!AB29+'June 26'!AB29</f>
        <v>0</v>
      </c>
      <c r="AE29" s="7">
        <f>'July 25'!AC29 + 'August 25'!AC29 +'Sept 25'!AC29 + 'Oct 25'!AC29 + 'Nov 25'!AC29+ 'Dec 25'!AC29 +'Jan 26'!AC29+'Feb 26'!AC29+'March 26'!AC29+'April 26'!AC29+'May 26'!AC29+'June 26'!AC29</f>
        <v>0</v>
      </c>
      <c r="AF29" s="7">
        <f>'July 25'!AD29 + 'August 25'!AD29 +'Sept 25'!AD29 + 'Oct 25'!AD29 + 'Nov 25'!AD29+ 'Dec 25'!AD29 +'Jan 26'!AD29+'Feb 26'!AD29+'March 26'!AD29+'April 26'!AD29+'May 26'!AD29+'June 26'!AD29</f>
        <v>0</v>
      </c>
      <c r="AG29" s="7">
        <f>'July 25'!AE29 + 'August 25'!AE29 +'Sept 25'!AE29 + 'Oct 25'!AE29 + 'Nov 25'!AE29+ 'Dec 25'!AE29 +'Jan 26'!AE29+'Feb 26'!AE29+'March 26'!AE29+'April 26'!AE29+'May 26'!AE29+'June 26'!AE29</f>
        <v>0</v>
      </c>
      <c r="AH29" s="7">
        <f>'July 25'!AF29 + 'August 25'!AF29 +'Sept 25'!AF29 + 'Oct 25'!AF29 + 'Nov 25'!AF29+ 'Dec 25'!AF29 +'Jan 26'!AF29+'Feb 26'!AF29+'March 26'!AF29+'April 26'!AF29+'May 26'!AF29+'June 26'!AF29</f>
        <v>0</v>
      </c>
      <c r="AI29" s="7">
        <f>'July 25'!AG29 + 'August 25'!AG29 +'Sept 25'!AG29 + 'Oct 25'!AG29 + 'Nov 25'!AG29+ 'Dec 25'!AG29 +'Jan 26'!AG29+'Feb 26'!AG29+'March 26'!AG29+'April 26'!AG29+'May 26'!AG29+'June 26'!AG29</f>
        <v>0</v>
      </c>
      <c r="AJ29" s="7">
        <f>'July 25'!AH29 + 'August 25'!AH29 +'Sept 25'!AH29 + 'Oct 25'!AH29 + 'Nov 25'!AH29+ 'Dec 25'!AH29 +'Jan 26'!AH29+'Feb 26'!AH29+'March 26'!AH29+'April 26'!AH29+'May 26'!AH29+'June 26'!AH29</f>
        <v>0</v>
      </c>
      <c r="AK29" s="7">
        <f>'July 25'!AI29 + 'August 25'!AI29 +'Sept 25'!AI29 + 'Oct 25'!AI29 + 'Nov 25'!AI29+ 'Dec 25'!AI29 +'Jan 26'!AI29+'Feb 26'!AI29+'March 26'!AI29+'April 26'!AI29+'May 26'!AI29+'June 26'!AI29</f>
        <v>0</v>
      </c>
      <c r="AL29" s="7">
        <f>'July 25'!AJ29 + 'August 25'!AJ29 +'Sept 25'!AJ29 + 'Oct 25'!AJ29 + 'Nov 25'!AJ29+ 'Dec 25'!AJ29 +'Jan 26'!AJ29+'Feb 26'!AJ29+'March 26'!AJ29+'April 26'!AJ29+'May 26'!AJ29+'June 26'!AJ29</f>
        <v>0</v>
      </c>
      <c r="AM29" s="7">
        <f>'July 25'!AK29 + 'August 25'!AK29 +'Sept 25'!AK29 + 'Oct 25'!AK29 + 'Nov 25'!AK29+ 'Dec 25'!AK29 +'Jan 26'!AK29+'Feb 26'!AK29+'March 26'!AK29+'April 26'!AK29+'May 26'!AK29+'June 26'!AK29</f>
        <v>0</v>
      </c>
      <c r="AN29" s="7">
        <f>'July 25'!AL29 + 'August 25'!AL29 +'Sept 25'!AL29 + 'Oct 25'!AL29 + 'Nov 25'!AL29+ 'Dec 25'!AL29 +'Jan 26'!AL29+'Feb 26'!AL29+'March 26'!AL29+'April 26'!AL29+'May 26'!AL29+'June 26'!AL29</f>
        <v>0</v>
      </c>
      <c r="AO29" s="7">
        <f>'July 25'!AM29 + 'August 25'!AM29 +'Sept 25'!AM29 + 'Oct 25'!AM29 + 'Nov 25'!AM29+ 'Dec 25'!AM29 +'Jan 26'!AM29+'Feb 26'!AM29+'March 26'!AM29+'April 26'!AM29+'May 26'!AM29+'June 26'!AM29</f>
        <v>0</v>
      </c>
      <c r="AP29" s="7">
        <f>'July 25'!AN29 + 'August 25'!AN29 +'Sept 25'!AN29 + 'Oct 25'!AN29 + 'Nov 25'!AN29+ 'Dec 25'!AN29 +'Jan 26'!AN29+'Feb 26'!AN29+'March 26'!AN29+'April 26'!AN29+'May 26'!AN29+'June 26'!AN29</f>
        <v>0</v>
      </c>
      <c r="AQ29" s="7">
        <f>'July 25'!AO29 + 'August 25'!AO29 +'Sept 25'!AO29 + 'Oct 25'!AO29 + 'Nov 25'!AO29+ 'Dec 25'!AO29 +'Jan 26'!AO29+'Feb 26'!AO29+'March 26'!AO29+'April 26'!AO29+'May 26'!AO29+'June 26'!AO29</f>
        <v>0</v>
      </c>
      <c r="AR29" s="7">
        <f>'July 25'!AP29 + 'August 25'!AP29 +'Sept 25'!AP29 + 'Oct 25'!AP29 + 'Nov 25'!AP29+ 'Dec 25'!AP29 +'Jan 26'!AP29+'Feb 26'!AP29+'March 26'!AP29+'April 26'!AP29+'May 26'!AP29+'June 26'!AP29</f>
        <v>0</v>
      </c>
      <c r="AS29" s="7">
        <f>'July 25'!AQ29 + 'August 25'!AQ29 +'Sept 25'!AQ29 + 'Oct 25'!AQ29 + 'Nov 25'!AQ29+ 'Dec 25'!AQ29 +'Jan 26'!AQ29+'Feb 26'!AQ29+'March 26'!AQ29+'April 26'!AQ29+'May 26'!AQ29+'June 26'!AQ29</f>
        <v>0</v>
      </c>
      <c r="AT29" s="7">
        <f>'July 25'!AR29 + 'August 25'!AR29 +'Sept 25'!AR29 + 'Oct 25'!AR29 + 'Nov 25'!AR29+ 'Dec 25'!AR29 +'Jan 26'!AR29+'Feb 26'!AR29+'March 26'!AR29+'April 26'!AR29+'May 26'!AR29+'June 26'!AR29</f>
        <v>0</v>
      </c>
      <c r="AU29" s="7">
        <f>'July 25'!AS29 + 'August 25'!AS29 +'Sept 25'!AS29 + 'Oct 25'!AS29 + 'Nov 25'!AS29+ 'Dec 25'!AS29 +'Jan 26'!AS29+'Feb 26'!AS29+'March 26'!AS29+'April 26'!AS29+'May 26'!AS29+'June 26'!AS29</f>
        <v>0</v>
      </c>
      <c r="AV29" s="7">
        <f>'July 25'!AT29 + 'August 25'!AT29 +'Sept 25'!AT29 + 'Oct 25'!AT29 + 'Nov 25'!AT29+ 'Dec 25'!AT29 +'Jan 26'!AT29+'Feb 26'!AT29+'March 26'!AT29+'April 26'!AT29+'May 26'!AT29+'June 26'!AT29</f>
        <v>0</v>
      </c>
      <c r="AW29" s="7">
        <f>'July 25'!AU29 + 'August 25'!AU29 +'Sept 25'!AU29 + 'Oct 25'!AU29 + 'Nov 25'!AU29+ 'Dec 25'!AU29 +'Jan 26'!AU29+'Feb 26'!AU29+'March 26'!AU29+'April 26'!AU29+'May 26'!AU29+'June 26'!AU29</f>
        <v>0</v>
      </c>
      <c r="AX29" s="7">
        <f>'July 25'!AV29 + 'August 25'!AV29 +'Sept 25'!AV29 + 'Oct 25'!AV29 + 'Nov 25'!AV29+ 'Dec 25'!AV29 +'Jan 26'!AV29+'Feb 26'!AV29+'March 26'!AV29+'April 26'!AV29+'May 26'!AV29+'June 26'!AV29</f>
        <v>0</v>
      </c>
      <c r="AY29" s="7">
        <f>'July 25'!AW29 + 'August 25'!AW29 +'Sept 25'!AW29 + 'Oct 25'!AW29 + 'Nov 25'!AW29+ 'Dec 25'!AW29 +'Jan 26'!AW29+'Feb 26'!AW29+'March 26'!AW29+'April 26'!AW29+'May 26'!AW29+'June 26'!AW29</f>
        <v>0</v>
      </c>
      <c r="AZ29" s="7">
        <f>'July 25'!AX29 + 'August 25'!AX29 +'Sept 25'!AX29 + 'Oct 25'!AX29 + 'Nov 25'!AX29+ 'Dec 25'!AX29 +'Jan 26'!AX29+'Feb 26'!AX29+'March 26'!AX29+'April 26'!AX29+'May 26'!AX29+'June 26'!AX29</f>
        <v>0</v>
      </c>
      <c r="BA29" s="7">
        <f>'July 25'!AY29 + 'August 25'!AY29 +'Sept 25'!AY29 + 'Oct 25'!AY29 + 'Nov 25'!AY29+ 'Dec 25'!AY29 +'Jan 26'!AY29+'Feb 26'!AY29+'March 26'!AY29+'April 26'!AY29+'May 26'!AY29+'June 26'!AY29</f>
        <v>0</v>
      </c>
      <c r="BB29" s="7">
        <f>'July 25'!AZ29 + 'August 25'!AZ29 +'Sept 25'!AZ29 + 'Oct 25'!AZ29 + 'Nov 25'!AZ29+ 'Dec 25'!AZ29 +'Jan 26'!AZ29+'Feb 26'!AZ29+'March 26'!AZ29+'April 26'!AZ29+'May 26'!AZ29+'June 26'!AZ29</f>
        <v>0</v>
      </c>
      <c r="BC29" s="7">
        <f>'July 25'!BA29 + 'August 25'!BA29 +'Sept 25'!BA29 + 'Oct 25'!BA29 + 'Nov 25'!BA29+ 'Dec 25'!BA29 +'Jan 26'!BA29+'Feb 26'!BA29+'March 26'!BA29+'April 26'!BA29+'May 26'!BA29+'June 26'!BA29</f>
        <v>0</v>
      </c>
      <c r="BD29" s="7">
        <f>'July 25'!BB29 + 'August 25'!BB29 +'Sept 25'!BB29 + 'Oct 25'!BB29 + 'Nov 25'!BB29+ 'Dec 25'!BB29 +'Jan 26'!BB29+'Feb 26'!BB29+'March 26'!BB29+'April 26'!BB29+'May 26'!BB29+'June 26'!BB29</f>
        <v>0</v>
      </c>
      <c r="BE29" s="7">
        <f>'July 25'!BC29 + 'August 25'!BC29 +'Sept 25'!BC29 + 'Oct 25'!BC29 + 'Nov 25'!BC29+ 'Dec 25'!BC29 +'Jan 26'!BC29+'Feb 26'!BC29+'March 26'!BC29+'April 26'!BC29+'May 26'!BC29+'June 26'!BC29</f>
        <v>0</v>
      </c>
      <c r="BF29" s="7">
        <f>'July 25'!BD29 + 'August 25'!BD29 +'Sept 25'!BD29 + 'Oct 25'!BD29 + 'Nov 25'!BD29+ 'Dec 25'!BD29 +'Jan 26'!BD29+'Feb 26'!BD29+'March 26'!BD29+'April 26'!BD29+'May 26'!BD29+'June 26'!BD29</f>
        <v>0</v>
      </c>
      <c r="BG29" s="7">
        <f>'July 25'!BE29 + 'August 25'!BE29 +'Sept 25'!BE29 + 'Oct 25'!BE29 + 'Nov 25'!BE29+ 'Dec 25'!BE29 +'Jan 26'!BE29+'Feb 26'!BE29+'March 26'!BE29+'April 26'!BE29+'May 26'!BE29+'June 26'!BE29</f>
        <v>0</v>
      </c>
      <c r="BH29" s="7">
        <f>'July 25'!BF29 + 'August 25'!BF29 +'Sept 25'!BF29 + 'Oct 25'!BF29 + 'Nov 25'!BF29+ 'Dec 25'!BF29 +'Jan 26'!BF29+'Feb 26'!BF29+'March 26'!BF29+'April 26'!BF29+'May 26'!BF29+'June 26'!BF29</f>
        <v>0</v>
      </c>
      <c r="BI29" s="7">
        <f>'July 25'!BG29 + 'August 25'!BG29 +'Sept 25'!BG29 + 'Oct 25'!BG29 + 'Nov 25'!BG29+ 'Dec 25'!BG29 +'Jan 26'!BG29+'Feb 26'!BG29+'March 26'!BG29+'April 26'!BG29+'May 26'!BG29+'June 26'!BG29</f>
        <v>0</v>
      </c>
      <c r="BJ29" s="7">
        <f>'July 25'!BH29 + 'August 25'!BH29 +'Sept 25'!BH29 + 'Oct 25'!BH29 + 'Nov 25'!BH29+ 'Dec 25'!BH29 +'Jan 26'!BH29+'Feb 26'!BH29+'March 26'!BH29+'April 26'!BH29+'May 26'!BH29+'June 26'!BH29</f>
        <v>0</v>
      </c>
      <c r="BK29" s="7">
        <f>'July 25'!BI29 + 'August 25'!BI29 +'Sept 25'!BI29 + 'Oct 25'!BI29 + 'Nov 25'!BI29+ 'Dec 25'!BI29 +'Jan 26'!BI29+'Feb 26'!BI29+'March 26'!BI29+'April 26'!BI29+'May 26'!BI29+'June 26'!BI29</f>
        <v>0</v>
      </c>
      <c r="BL29" s="7">
        <f>'July 25'!BJ29 + 'August 25'!BJ29 +'Sept 25'!BJ29 + 'Oct 25'!BJ29 + 'Nov 25'!BJ29+ 'Dec 25'!BJ29 +'Jan 26'!BJ29+'Feb 26'!BJ29+'March 26'!BJ29+'April 26'!BJ29+'May 26'!BJ29+'June 26'!BJ29</f>
        <v>0</v>
      </c>
      <c r="BM29" s="7">
        <f>'July 25'!BK29 + 'August 25'!BK29 +'Sept 25'!BK29 + 'Oct 25'!BK29 + 'Nov 25'!BK29+ 'Dec 25'!BK29 +'Jan 26'!BK29+'Feb 26'!BK29+'March 26'!BK29+'April 26'!BK29+'May 26'!BK29+'June 26'!BK29</f>
        <v>0</v>
      </c>
      <c r="BN29" s="7">
        <f>'July 25'!BL29 + 'August 25'!BL29 +'Sept 25'!BL29 + 'Oct 25'!BL29 + 'Nov 25'!BL29+ 'Dec 25'!BL29 +'Jan 26'!BL29+'Feb 26'!BL29+'March 26'!BL29+'April 26'!BL29+'May 26'!BL29+'June 26'!BL29</f>
        <v>0</v>
      </c>
      <c r="BO29" s="7">
        <f>'July 25'!BM29 + 'August 25'!BM29 +'Sept 25'!BM29 + 'Oct 25'!BM29 + 'Nov 25'!BM29+ 'Dec 25'!BM29 +'Jan 26'!BM29+'Feb 26'!BM29+'March 26'!BM29+'April 26'!BM29+'May 26'!BM29+'June 26'!BM29</f>
        <v>0</v>
      </c>
      <c r="BP29" s="7">
        <f>'July 25'!BN29 + 'August 25'!BN29 +'Sept 25'!BN29 + 'Oct 25'!BN29 + 'Nov 25'!BN29+ 'Dec 25'!BN29 +'Jan 26'!BN29+'Feb 26'!BN29+'March 26'!BN29+'April 26'!BN29+'May 26'!BN29+'June 26'!BN29</f>
        <v>0</v>
      </c>
      <c r="BQ29" s="7">
        <f>'July 25'!BO29 + 'August 25'!BO29 +'Sept 25'!BO29 + 'Oct 25'!BO29 + 'Nov 25'!BO29+ 'Dec 25'!BO29 +'Jan 26'!BO29+'Feb 26'!BO29+'March 26'!BO29+'April 26'!BO29+'May 26'!BO29+'June 26'!BO29</f>
        <v>0</v>
      </c>
      <c r="BR29" s="7">
        <f>'July 25'!BP29 + 'August 25'!BP29 +'Sept 25'!BP29 + 'Oct 25'!BP29 + 'Nov 25'!BP29+ 'Dec 25'!BP29 +'Jan 26'!BP29+'Feb 26'!BP29+'March 26'!BP29+'April 26'!BP29+'May 26'!BP29+'June 26'!BP29</f>
        <v>0</v>
      </c>
      <c r="BS29" s="7">
        <f>'July 25'!BQ29 + 'August 25'!BQ29 +'Sept 25'!BQ29 + 'Oct 25'!BQ29 + 'Nov 25'!BQ29+ 'Dec 25'!BQ29 +'Jan 26'!BQ29+'Feb 26'!BQ29+'March 26'!BQ29+'April 26'!BQ29+'May 26'!BQ29+'June 26'!BQ29</f>
        <v>0</v>
      </c>
      <c r="BT29" s="7">
        <f>'July 25'!BR29 + 'August 25'!BR29 +'Sept 25'!BR29 + 'Oct 25'!BR29 + 'Nov 25'!BR29+ 'Dec 25'!BR29 +'Jan 26'!BR29+'Feb 26'!BR29+'March 26'!BR29+'April 26'!BR29+'May 26'!BR29+'June 26'!BR29</f>
        <v>0</v>
      </c>
      <c r="BU29" s="7">
        <f>'July 25'!BS29 + 'August 25'!BS29 +'Sept 25'!BS29 + 'Oct 25'!BS29 + 'Nov 25'!BS29+ 'Dec 25'!BS29 +'Jan 26'!BS29+'Feb 26'!BS29+'March 26'!BS29+'April 26'!BS29+'May 26'!BS29+'June 26'!BS29</f>
        <v>0</v>
      </c>
      <c r="BV29" s="7">
        <f>'July 25'!BT29 + 'August 25'!BT29 +'Sept 25'!BT29 + 'Oct 25'!BT29 + 'Nov 25'!BT29+ 'Dec 25'!BT29 +'Jan 26'!BT29+'Feb 26'!BT29+'March 26'!BT29+'April 26'!BT29+'May 26'!BT29+'June 26'!BT29</f>
        <v>0</v>
      </c>
      <c r="BW29" s="7">
        <f>'July 25'!BU29 + 'August 25'!BU29 +'Sept 25'!BU29 + 'Oct 25'!BU29 + 'Nov 25'!BU29+ 'Dec 25'!BU29 +'Jan 26'!BU29+'Feb 26'!BU29+'March 26'!BU29+'April 26'!BU29+'May 26'!BU29+'June 26'!BU29</f>
        <v>0</v>
      </c>
      <c r="BX29" s="7">
        <f>'July 25'!BV29 + 'August 25'!BV29 +'Sept 25'!BV29 + 'Oct 25'!BV29 + 'Nov 25'!BV29+ 'Dec 25'!BV29 +'Jan 26'!BV29+'Feb 26'!BV29+'March 26'!BV29+'April 26'!BV29+'May 26'!BV29+'June 26'!BV29</f>
        <v>720</v>
      </c>
      <c r="BY29" s="7">
        <f>'July 25'!BW29 + 'August 25'!BW29 +'Sept 25'!BW29 + 'Oct 25'!BW29 + 'Nov 25'!BW29+ 'Dec 25'!BW29 +'Jan 26'!BW29+'Feb 26'!BW29+'March 26'!BW29+'April 26'!BW29+'May 26'!BW29+'June 26'!BW29</f>
        <v>720</v>
      </c>
      <c r="BZ29" s="7">
        <f>'July 25'!BX29 + 'August 25'!BX29 +'Sept 25'!BX29 + 'Oct 25'!BX29 + 'Nov 25'!BX29+ 'Dec 25'!BX29 +'Jan 26'!BX29+'Feb 26'!BX29+'March 26'!BX29+'April 26'!BX29+'May 26'!BX29+'June 26'!BX29</f>
        <v>0</v>
      </c>
      <c r="CA29" s="7">
        <f>'July 25'!BY29 + 'August 25'!BY29 +'Sept 25'!BY29 + 'Oct 25'!BY29 + 'Nov 25'!BY29+ 'Dec 25'!BY29 +'Jan 26'!BY29+'Feb 26'!BY29+'March 26'!BY29+'April 26'!BY29+'May 26'!BY29+'June 26'!BY29</f>
        <v>0</v>
      </c>
      <c r="CB29" s="7">
        <f>'July 25'!BZ29 + 'August 25'!BZ29 +'Sept 25'!BZ29 + 'Oct 25'!BZ29 + 'Nov 25'!BZ29+ 'Dec 25'!BZ29 +'Jan 26'!BZ29+'Feb 26'!BZ29+'March 26'!BZ29+'April 26'!BZ29+'May 26'!BZ29+'June 26'!BZ29</f>
        <v>0</v>
      </c>
      <c r="CC29" s="7">
        <f>'July 25'!CA29 + 'August 25'!CA29 +'Sept 25'!CA29 + 'Oct 25'!CA29 + 'Nov 25'!CA29+ 'Dec 25'!CA29 +'Jan 26'!CA29+'Feb 26'!CA29+'March 26'!CA29+'April 26'!CA29+'May 26'!CA29+'June 26'!CA29</f>
        <v>0</v>
      </c>
      <c r="CD29" s="7">
        <f>'July 25'!CB29 + 'August 25'!CB29 +'Sept 25'!CB29 + 'Oct 25'!CB29 + 'Nov 25'!CB29+ 'Dec 25'!CB29 +'Jan 26'!CB29+'Feb 26'!CB29+'March 26'!CB29+'April 26'!CB29+'May 26'!CB29+'June 26'!CB29</f>
        <v>0</v>
      </c>
      <c r="CE29" s="7">
        <f>'July 25'!CC29 + 'August 25'!CC29 +'Sept 25'!CC29 + 'Oct 25'!CC29 + 'Nov 25'!CC29+ 'Dec 25'!CC29 +'Jan 26'!CC29+'Feb 26'!CC29+'March 26'!CC29+'April 26'!CC29+'May 26'!CC29+'June 26'!CC29</f>
        <v>0</v>
      </c>
      <c r="CF29" s="9" cm="1">
        <f t="array" ref="CF29">SUMPRODUCT(--(UPPER($F$2:$CE$2)="NET NEW"),$F29:$CE29)</f>
        <v>0</v>
      </c>
      <c r="CG29" s="4">
        <f>SUMIF($F$2:$CE$2,"Enhance Existing",$F29:$CE29)</f>
        <v>720</v>
      </c>
      <c r="CH29" s="4">
        <f>SUMIF($F$2:$CE$2,"Maintenance",$F29:$CE29)</f>
        <v>720</v>
      </c>
    </row>
    <row r="30" spans="1:86" ht="15.95">
      <c r="A30" s="7" t="s">
        <v>70</v>
      </c>
      <c r="B30" s="7" t="s">
        <v>43</v>
      </c>
      <c r="C30" s="7" t="s">
        <v>72</v>
      </c>
      <c r="D30" s="12"/>
      <c r="E30" s="7"/>
      <c r="F30" s="7">
        <f>'July 25'!D30 + 'August 25'!D30 +'Sept 25'!D30 + 'Oct 25'!D30 + 'Nov 25'!D30+ 'Dec 25'!D30 +'Jan 26'!D30+'Feb 26'!D30+'March 26'!D30+'April 26'!D30+'May 26'!D30+'June 26'!D30</f>
        <v>0</v>
      </c>
      <c r="G30" s="7">
        <f>'July 25'!E30 + 'August 25'!E30 +'Sept 25'!E30 + 'Oct 25'!E30 + 'Nov 25'!E30+ 'Dec 25'!E30 +'Jan 26'!E30+'Feb 26'!E30+'March 26'!E30+'April 26'!E30+'May 26'!E30+'June 26'!E30</f>
        <v>0</v>
      </c>
      <c r="H30" s="7">
        <f>'July 25'!F30 + 'August 25'!F30 +'Sept 25'!F30 + 'Oct 25'!F30 + 'Nov 25'!F30+ 'Dec 25'!F30 +'Jan 26'!F30+'Feb 26'!F30+'March 26'!F30+'April 26'!F30+'May 26'!F30+'June 26'!F30</f>
        <v>0</v>
      </c>
      <c r="I30" s="7">
        <f>'July 25'!G30 + 'August 25'!G30 +'Sept 25'!G30 + 'Oct 25'!G30 + 'Nov 25'!G30+ 'Dec 25'!G30 +'Jan 26'!G30+'Feb 26'!G30+'March 26'!G30+'April 26'!G30+'May 26'!G30+'June 26'!G30</f>
        <v>0</v>
      </c>
      <c r="J30" s="7">
        <f>'July 25'!H30 + 'August 25'!H30 +'Sept 25'!H30 + 'Oct 25'!H30 + 'Nov 25'!H30+ 'Dec 25'!H30 +'Jan 26'!H30+'Feb 26'!H30+'March 26'!H30+'April 26'!H30+'May 26'!H30+'June 26'!H30</f>
        <v>0</v>
      </c>
      <c r="K30" s="7">
        <f>'July 25'!I30 + 'August 25'!I30 +'Sept 25'!I30 + 'Oct 25'!I30 + 'Nov 25'!I30+ 'Dec 25'!I30 +'Jan 26'!I30+'Feb 26'!I30+'March 26'!I30+'April 26'!I30+'May 26'!I30+'June 26'!I30</f>
        <v>0</v>
      </c>
      <c r="L30" s="7">
        <f>'July 25'!J30 + 'August 25'!J30 +'Sept 25'!J30 + 'Oct 25'!J30 + 'Nov 25'!J30+ 'Dec 25'!J30 +'Jan 26'!J30+'Feb 26'!J30+'March 26'!J30+'April 26'!J30+'May 26'!J30+'June 26'!J30</f>
        <v>0</v>
      </c>
      <c r="M30" s="7">
        <f>'July 25'!K30 + 'August 25'!K30 +'Sept 25'!K30 + 'Oct 25'!K30 + 'Nov 25'!K30+ 'Dec 25'!K30 +'Jan 26'!K30+'Feb 26'!K30+'March 26'!K30+'April 26'!K30+'May 26'!K30+'June 26'!K30</f>
        <v>0</v>
      </c>
      <c r="N30" s="7">
        <f>'July 25'!L30 + 'August 25'!L30 +'Sept 25'!L30 + 'Oct 25'!L30 + 'Nov 25'!L30+ 'Dec 25'!L30 +'Jan 26'!L30+'Feb 26'!L30+'March 26'!L30+'April 26'!L30+'May 26'!L30+'June 26'!L30</f>
        <v>0</v>
      </c>
      <c r="O30" s="7">
        <f>'July 25'!M30 + 'August 25'!M30 +'Sept 25'!M30 + 'Oct 25'!M30 + 'Nov 25'!M30+ 'Dec 25'!M30 +'Jan 26'!M30+'Feb 26'!M30+'March 26'!M30+'April 26'!M30+'May 26'!M30+'June 26'!M30</f>
        <v>0</v>
      </c>
      <c r="P30" s="7">
        <f>'July 25'!N30 + 'August 25'!N30 +'Sept 25'!N30 + 'Oct 25'!N30 + 'Nov 25'!N30+ 'Dec 25'!N30 +'Jan 26'!N30+'Feb 26'!N30+'March 26'!N30+'April 26'!N30+'May 26'!N30+'June 26'!N30</f>
        <v>0</v>
      </c>
      <c r="Q30" s="7">
        <f>'July 25'!O30 + 'August 25'!O30 +'Sept 25'!O30 + 'Oct 25'!O30 + 'Nov 25'!O30+ 'Dec 25'!O30 +'Jan 26'!O30+'Feb 26'!O30+'March 26'!O30+'April 26'!O30+'May 26'!O30+'June 26'!O30</f>
        <v>0</v>
      </c>
      <c r="R30" s="7">
        <f>'July 25'!P30 + 'August 25'!P30 +'Sept 25'!P30 + 'Oct 25'!P30 + 'Nov 25'!P30+ 'Dec 25'!P30 +'Jan 26'!P30+'Feb 26'!P30+'March 26'!P30+'April 26'!P30+'May 26'!P30+'June 26'!P30</f>
        <v>0</v>
      </c>
      <c r="S30" s="7">
        <f>'July 25'!Q30 + 'August 25'!Q30 +'Sept 25'!Q30 + 'Oct 25'!Q30 + 'Nov 25'!Q30+ 'Dec 25'!Q30 +'Jan 26'!Q30+'Feb 26'!Q30+'March 26'!Q30+'April 26'!Q30+'May 26'!Q30+'June 26'!Q30</f>
        <v>0</v>
      </c>
      <c r="T30" s="7">
        <f>'July 25'!R30 + 'August 25'!R30 +'Sept 25'!R30 + 'Oct 25'!R30 + 'Nov 25'!R30+ 'Dec 25'!R30 +'Jan 26'!R30+'Feb 26'!R30+'March 26'!R30+'April 26'!R30+'May 26'!R30+'June 26'!R30</f>
        <v>0</v>
      </c>
      <c r="U30" s="7">
        <f>'July 25'!S30 + 'August 25'!S30 +'Sept 25'!S30 + 'Oct 25'!S30 + 'Nov 25'!S30+ 'Dec 25'!S30 +'Jan 26'!S30+'Feb 26'!S30+'March 26'!S30+'April 26'!S30+'May 26'!S30+'June 26'!S30</f>
        <v>0</v>
      </c>
      <c r="V30" s="7">
        <f>'July 25'!T30 + 'August 25'!T30 +'Sept 25'!T30 + 'Oct 25'!T30 + 'Nov 25'!T30+ 'Dec 25'!T30 +'Jan 26'!T30+'Feb 26'!T30+'March 26'!T30+'April 26'!T30+'May 26'!T30+'June 26'!T30</f>
        <v>0</v>
      </c>
      <c r="W30" s="7">
        <f>'July 25'!U30 + 'August 25'!U30 +'Sept 25'!U30 + 'Oct 25'!U30 + 'Nov 25'!U30+ 'Dec 25'!U30 +'Jan 26'!U30+'Feb 26'!U30+'March 26'!U30+'April 26'!U30+'May 26'!U30+'June 26'!U30</f>
        <v>0</v>
      </c>
      <c r="X30" s="7">
        <f>'July 25'!V30 + 'August 25'!V30 +'Sept 25'!V30 + 'Oct 25'!V30 + 'Nov 25'!V30+ 'Dec 25'!V30 +'Jan 26'!V30+'Feb 26'!V30+'March 26'!V30+'April 26'!V30+'May 26'!V30+'June 26'!V30</f>
        <v>0</v>
      </c>
      <c r="Y30" s="7">
        <f>'July 25'!W30 + 'August 25'!W30 +'Sept 25'!W30 + 'Oct 25'!W30 + 'Nov 25'!W30+ 'Dec 25'!W30 +'Jan 26'!W30+'Feb 26'!W30+'March 26'!W30+'April 26'!W30+'May 26'!W30+'June 26'!W30</f>
        <v>0</v>
      </c>
      <c r="Z30" s="7">
        <f>'July 25'!X30 + 'August 25'!X30 +'Sept 25'!X30 + 'Oct 25'!X30 + 'Nov 25'!X30+ 'Dec 25'!X30 +'Jan 26'!X30+'Feb 26'!X30+'March 26'!X30+'April 26'!X30+'May 26'!X30+'June 26'!X30</f>
        <v>0</v>
      </c>
      <c r="AA30" s="7">
        <f>'July 25'!Y30 + 'August 25'!Y30 +'Sept 25'!Y30 + 'Oct 25'!Y30 + 'Nov 25'!Y30+ 'Dec 25'!Y30 +'Jan 26'!Y30+'Feb 26'!Y30+'March 26'!Y30+'April 26'!Y30+'May 26'!Y30+'June 26'!Y30</f>
        <v>0</v>
      </c>
      <c r="AB30" s="7">
        <f>'July 25'!Z30 + 'August 25'!Z30 +'Sept 25'!Z30 + 'Oct 25'!Z30 + 'Nov 25'!Z30+ 'Dec 25'!Z30 +'Jan 26'!Z30+'Feb 26'!Z30+'March 26'!Z30+'April 26'!Z30+'May 26'!Z30+'June 26'!Z30</f>
        <v>0</v>
      </c>
      <c r="AC30" s="7">
        <f>'July 25'!AA30 + 'August 25'!AA30 +'Sept 25'!AA30 + 'Oct 25'!AA30 + 'Nov 25'!AA30+ 'Dec 25'!AA30 +'Jan 26'!AA30+'Feb 26'!AA30+'March 26'!AA30+'April 26'!AA30+'May 26'!AA30+'June 26'!AA30</f>
        <v>0</v>
      </c>
      <c r="AD30" s="7">
        <f>'July 25'!AB30 + 'August 25'!AB30 +'Sept 25'!AB30 + 'Oct 25'!AB30 + 'Nov 25'!AB30+ 'Dec 25'!AB30 +'Jan 26'!AB30+'Feb 26'!AB30+'March 26'!AB30+'April 26'!AB30+'May 26'!AB30+'June 26'!AB30</f>
        <v>0</v>
      </c>
      <c r="AE30" s="7">
        <f>'July 25'!AC30 + 'August 25'!AC30 +'Sept 25'!AC30 + 'Oct 25'!AC30 + 'Nov 25'!AC30+ 'Dec 25'!AC30 +'Jan 26'!AC30+'Feb 26'!AC30+'March 26'!AC30+'April 26'!AC30+'May 26'!AC30+'June 26'!AC30</f>
        <v>0</v>
      </c>
      <c r="AF30" s="7">
        <f>'July 25'!AD30 + 'August 25'!AD30 +'Sept 25'!AD30 + 'Oct 25'!AD30 + 'Nov 25'!AD30+ 'Dec 25'!AD30 +'Jan 26'!AD30+'Feb 26'!AD30+'March 26'!AD30+'April 26'!AD30+'May 26'!AD30+'June 26'!AD30</f>
        <v>0</v>
      </c>
      <c r="AG30" s="7">
        <f>'July 25'!AE30 + 'August 25'!AE30 +'Sept 25'!AE30 + 'Oct 25'!AE30 + 'Nov 25'!AE30+ 'Dec 25'!AE30 +'Jan 26'!AE30+'Feb 26'!AE30+'March 26'!AE30+'April 26'!AE30+'May 26'!AE30+'June 26'!AE30</f>
        <v>0</v>
      </c>
      <c r="AH30" s="7">
        <f>'July 25'!AF30 + 'August 25'!AF30 +'Sept 25'!AF30 + 'Oct 25'!AF30 + 'Nov 25'!AF30+ 'Dec 25'!AF30 +'Jan 26'!AF30+'Feb 26'!AF30+'March 26'!AF30+'April 26'!AF30+'May 26'!AF30+'June 26'!AF30</f>
        <v>0</v>
      </c>
      <c r="AI30" s="7">
        <f>'July 25'!AG30 + 'August 25'!AG30 +'Sept 25'!AG30 + 'Oct 25'!AG30 + 'Nov 25'!AG30+ 'Dec 25'!AG30 +'Jan 26'!AG30+'Feb 26'!AG30+'March 26'!AG30+'April 26'!AG30+'May 26'!AG30+'June 26'!AG30</f>
        <v>0</v>
      </c>
      <c r="AJ30" s="7">
        <f>'July 25'!AH30 + 'August 25'!AH30 +'Sept 25'!AH30 + 'Oct 25'!AH30 + 'Nov 25'!AH30+ 'Dec 25'!AH30 +'Jan 26'!AH30+'Feb 26'!AH30+'March 26'!AH30+'April 26'!AH30+'May 26'!AH30+'June 26'!AH30</f>
        <v>0</v>
      </c>
      <c r="AK30" s="7">
        <f>'July 25'!AI30 + 'August 25'!AI30 +'Sept 25'!AI30 + 'Oct 25'!AI30 + 'Nov 25'!AI30+ 'Dec 25'!AI30 +'Jan 26'!AI30+'Feb 26'!AI30+'March 26'!AI30+'April 26'!AI30+'May 26'!AI30+'June 26'!AI30</f>
        <v>0</v>
      </c>
      <c r="AL30" s="7">
        <f>'July 25'!AJ30 + 'August 25'!AJ30 +'Sept 25'!AJ30 + 'Oct 25'!AJ30 + 'Nov 25'!AJ30+ 'Dec 25'!AJ30 +'Jan 26'!AJ30+'Feb 26'!AJ30+'March 26'!AJ30+'April 26'!AJ30+'May 26'!AJ30+'June 26'!AJ30</f>
        <v>0</v>
      </c>
      <c r="AM30" s="7">
        <f>'July 25'!AK30 + 'August 25'!AK30 +'Sept 25'!AK30 + 'Oct 25'!AK30 + 'Nov 25'!AK30+ 'Dec 25'!AK30 +'Jan 26'!AK30+'Feb 26'!AK30+'March 26'!AK30+'April 26'!AK30+'May 26'!AK30+'June 26'!AK30</f>
        <v>0</v>
      </c>
      <c r="AN30" s="7">
        <f>'July 25'!AL30 + 'August 25'!AL30 +'Sept 25'!AL30 + 'Oct 25'!AL30 + 'Nov 25'!AL30+ 'Dec 25'!AL30 +'Jan 26'!AL30+'Feb 26'!AL30+'March 26'!AL30+'April 26'!AL30+'May 26'!AL30+'June 26'!AL30</f>
        <v>0</v>
      </c>
      <c r="AO30" s="7">
        <f>'July 25'!AM30 + 'August 25'!AM30 +'Sept 25'!AM30 + 'Oct 25'!AM30 + 'Nov 25'!AM30+ 'Dec 25'!AM30 +'Jan 26'!AM30+'Feb 26'!AM30+'March 26'!AM30+'April 26'!AM30+'May 26'!AM30+'June 26'!AM30</f>
        <v>0</v>
      </c>
      <c r="AP30" s="7">
        <f>'July 25'!AN30 + 'August 25'!AN30 +'Sept 25'!AN30 + 'Oct 25'!AN30 + 'Nov 25'!AN30+ 'Dec 25'!AN30 +'Jan 26'!AN30+'Feb 26'!AN30+'March 26'!AN30+'April 26'!AN30+'May 26'!AN30+'June 26'!AN30</f>
        <v>0</v>
      </c>
      <c r="AQ30" s="7">
        <f>'July 25'!AO30 + 'August 25'!AO30 +'Sept 25'!AO30 + 'Oct 25'!AO30 + 'Nov 25'!AO30+ 'Dec 25'!AO30 +'Jan 26'!AO30+'Feb 26'!AO30+'March 26'!AO30+'April 26'!AO30+'May 26'!AO30+'June 26'!AO30</f>
        <v>0</v>
      </c>
      <c r="AR30" s="7">
        <f>'July 25'!AP30 + 'August 25'!AP30 +'Sept 25'!AP30 + 'Oct 25'!AP30 + 'Nov 25'!AP30+ 'Dec 25'!AP30 +'Jan 26'!AP30+'Feb 26'!AP30+'March 26'!AP30+'April 26'!AP30+'May 26'!AP30+'June 26'!AP30</f>
        <v>0</v>
      </c>
      <c r="AS30" s="7">
        <f>'July 25'!AQ30 + 'August 25'!AQ30 +'Sept 25'!AQ30 + 'Oct 25'!AQ30 + 'Nov 25'!AQ30+ 'Dec 25'!AQ30 +'Jan 26'!AQ30+'Feb 26'!AQ30+'March 26'!AQ30+'April 26'!AQ30+'May 26'!AQ30+'June 26'!AQ30</f>
        <v>0</v>
      </c>
      <c r="AT30" s="7">
        <f>'July 25'!AR30 + 'August 25'!AR30 +'Sept 25'!AR30 + 'Oct 25'!AR30 + 'Nov 25'!AR30+ 'Dec 25'!AR30 +'Jan 26'!AR30+'Feb 26'!AR30+'March 26'!AR30+'April 26'!AR30+'May 26'!AR30+'June 26'!AR30</f>
        <v>0</v>
      </c>
      <c r="AU30" s="7">
        <f>'July 25'!AS30 + 'August 25'!AS30 +'Sept 25'!AS30 + 'Oct 25'!AS30 + 'Nov 25'!AS30+ 'Dec 25'!AS30 +'Jan 26'!AS30+'Feb 26'!AS30+'March 26'!AS30+'April 26'!AS30+'May 26'!AS30+'June 26'!AS30</f>
        <v>0</v>
      </c>
      <c r="AV30" s="7">
        <f>'July 25'!AT30 + 'August 25'!AT30 +'Sept 25'!AT30 + 'Oct 25'!AT30 + 'Nov 25'!AT30+ 'Dec 25'!AT30 +'Jan 26'!AT30+'Feb 26'!AT30+'March 26'!AT30+'April 26'!AT30+'May 26'!AT30+'June 26'!AT30</f>
        <v>0</v>
      </c>
      <c r="AW30" s="7">
        <f>'July 25'!AU30 + 'August 25'!AU30 +'Sept 25'!AU30 + 'Oct 25'!AU30 + 'Nov 25'!AU30+ 'Dec 25'!AU30 +'Jan 26'!AU30+'Feb 26'!AU30+'March 26'!AU30+'April 26'!AU30+'May 26'!AU30+'June 26'!AU30</f>
        <v>0</v>
      </c>
      <c r="AX30" s="7">
        <f>'July 25'!AV30 + 'August 25'!AV30 +'Sept 25'!AV30 + 'Oct 25'!AV30 + 'Nov 25'!AV30+ 'Dec 25'!AV30 +'Jan 26'!AV30+'Feb 26'!AV30+'March 26'!AV30+'April 26'!AV30+'May 26'!AV30+'June 26'!AV30</f>
        <v>0</v>
      </c>
      <c r="AY30" s="7">
        <f>'July 25'!AW30 + 'August 25'!AW30 +'Sept 25'!AW30 + 'Oct 25'!AW30 + 'Nov 25'!AW30+ 'Dec 25'!AW30 +'Jan 26'!AW30+'Feb 26'!AW30+'March 26'!AW30+'April 26'!AW30+'May 26'!AW30+'June 26'!AW30</f>
        <v>0</v>
      </c>
      <c r="AZ30" s="7">
        <f>'July 25'!AX30 + 'August 25'!AX30 +'Sept 25'!AX30 + 'Oct 25'!AX30 + 'Nov 25'!AX30+ 'Dec 25'!AX30 +'Jan 26'!AX30+'Feb 26'!AX30+'March 26'!AX30+'April 26'!AX30+'May 26'!AX30+'June 26'!AX30</f>
        <v>0</v>
      </c>
      <c r="BA30" s="7">
        <f>'July 25'!AY30 + 'August 25'!AY30 +'Sept 25'!AY30 + 'Oct 25'!AY30 + 'Nov 25'!AY30+ 'Dec 25'!AY30 +'Jan 26'!AY30+'Feb 26'!AY30+'March 26'!AY30+'April 26'!AY30+'May 26'!AY30+'June 26'!AY30</f>
        <v>0</v>
      </c>
      <c r="BB30" s="7">
        <f>'July 25'!AZ30 + 'August 25'!AZ30 +'Sept 25'!AZ30 + 'Oct 25'!AZ30 + 'Nov 25'!AZ30+ 'Dec 25'!AZ30 +'Jan 26'!AZ30+'Feb 26'!AZ30+'March 26'!AZ30+'April 26'!AZ30+'May 26'!AZ30+'June 26'!AZ30</f>
        <v>0</v>
      </c>
      <c r="BC30" s="7">
        <f>'July 25'!BA30 + 'August 25'!BA30 +'Sept 25'!BA30 + 'Oct 25'!BA30 + 'Nov 25'!BA30+ 'Dec 25'!BA30 +'Jan 26'!BA30+'Feb 26'!BA30+'March 26'!BA30+'April 26'!BA30+'May 26'!BA30+'June 26'!BA30</f>
        <v>0</v>
      </c>
      <c r="BD30" s="7">
        <f>'July 25'!BB30 + 'August 25'!BB30 +'Sept 25'!BB30 + 'Oct 25'!BB30 + 'Nov 25'!BB30+ 'Dec 25'!BB30 +'Jan 26'!BB30+'Feb 26'!BB30+'March 26'!BB30+'April 26'!BB30+'May 26'!BB30+'June 26'!BB30</f>
        <v>0</v>
      </c>
      <c r="BE30" s="7">
        <f>'July 25'!BC30 + 'August 25'!BC30 +'Sept 25'!BC30 + 'Oct 25'!BC30 + 'Nov 25'!BC30+ 'Dec 25'!BC30 +'Jan 26'!BC30+'Feb 26'!BC30+'March 26'!BC30+'April 26'!BC30+'May 26'!BC30+'June 26'!BC30</f>
        <v>0</v>
      </c>
      <c r="BF30" s="7">
        <f>'July 25'!BD30 + 'August 25'!BD30 +'Sept 25'!BD30 + 'Oct 25'!BD30 + 'Nov 25'!BD30+ 'Dec 25'!BD30 +'Jan 26'!BD30+'Feb 26'!BD30+'March 26'!BD30+'April 26'!BD30+'May 26'!BD30+'June 26'!BD30</f>
        <v>0</v>
      </c>
      <c r="BG30" s="7">
        <f>'July 25'!BE30 + 'August 25'!BE30 +'Sept 25'!BE30 + 'Oct 25'!BE30 + 'Nov 25'!BE30+ 'Dec 25'!BE30 +'Jan 26'!BE30+'Feb 26'!BE30+'March 26'!BE30+'April 26'!BE30+'May 26'!BE30+'June 26'!BE30</f>
        <v>0</v>
      </c>
      <c r="BH30" s="7">
        <f>'July 25'!BF30 + 'August 25'!BF30 +'Sept 25'!BF30 + 'Oct 25'!BF30 + 'Nov 25'!BF30+ 'Dec 25'!BF30 +'Jan 26'!BF30+'Feb 26'!BF30+'March 26'!BF30+'April 26'!BF30+'May 26'!BF30+'June 26'!BF30</f>
        <v>0</v>
      </c>
      <c r="BI30" s="7">
        <f>'July 25'!BG30 + 'August 25'!BG30 +'Sept 25'!BG30 + 'Oct 25'!BG30 + 'Nov 25'!BG30+ 'Dec 25'!BG30 +'Jan 26'!BG30+'Feb 26'!BG30+'March 26'!BG30+'April 26'!BG30+'May 26'!BG30+'June 26'!BG30</f>
        <v>0</v>
      </c>
      <c r="BJ30" s="7">
        <f>'July 25'!BH30 + 'August 25'!BH30 +'Sept 25'!BH30 + 'Oct 25'!BH30 + 'Nov 25'!BH30+ 'Dec 25'!BH30 +'Jan 26'!BH30+'Feb 26'!BH30+'March 26'!BH30+'April 26'!BH30+'May 26'!BH30+'June 26'!BH30</f>
        <v>0</v>
      </c>
      <c r="BK30" s="7">
        <f>'July 25'!BI30 + 'August 25'!BI30 +'Sept 25'!BI30 + 'Oct 25'!BI30 + 'Nov 25'!BI30+ 'Dec 25'!BI30 +'Jan 26'!BI30+'Feb 26'!BI30+'March 26'!BI30+'April 26'!BI30+'May 26'!BI30+'June 26'!BI30</f>
        <v>0</v>
      </c>
      <c r="BL30" s="7">
        <f>'July 25'!BJ30 + 'August 25'!BJ30 +'Sept 25'!BJ30 + 'Oct 25'!BJ30 + 'Nov 25'!BJ30+ 'Dec 25'!BJ30 +'Jan 26'!BJ30+'Feb 26'!BJ30+'March 26'!BJ30+'April 26'!BJ30+'May 26'!BJ30+'June 26'!BJ30</f>
        <v>0</v>
      </c>
      <c r="BM30" s="7">
        <f>'July 25'!BK30 + 'August 25'!BK30 +'Sept 25'!BK30 + 'Oct 25'!BK30 + 'Nov 25'!BK30+ 'Dec 25'!BK30 +'Jan 26'!BK30+'Feb 26'!BK30+'March 26'!BK30+'April 26'!BK30+'May 26'!BK30+'June 26'!BK30</f>
        <v>0</v>
      </c>
      <c r="BN30" s="7">
        <f>'July 25'!BL30 + 'August 25'!BL30 +'Sept 25'!BL30 + 'Oct 25'!BL30 + 'Nov 25'!BL30+ 'Dec 25'!BL30 +'Jan 26'!BL30+'Feb 26'!BL30+'March 26'!BL30+'April 26'!BL30+'May 26'!BL30+'June 26'!BL30</f>
        <v>0</v>
      </c>
      <c r="BO30" s="7">
        <f>'July 25'!BM30 + 'August 25'!BM30 +'Sept 25'!BM30 + 'Oct 25'!BM30 + 'Nov 25'!BM30+ 'Dec 25'!BM30 +'Jan 26'!BM30+'Feb 26'!BM30+'March 26'!BM30+'April 26'!BM30+'May 26'!BM30+'June 26'!BM30</f>
        <v>0</v>
      </c>
      <c r="BP30" s="7">
        <f>'July 25'!BN30 + 'August 25'!BN30 +'Sept 25'!BN30 + 'Oct 25'!BN30 + 'Nov 25'!BN30+ 'Dec 25'!BN30 +'Jan 26'!BN30+'Feb 26'!BN30+'March 26'!BN30+'April 26'!BN30+'May 26'!BN30+'June 26'!BN30</f>
        <v>0</v>
      </c>
      <c r="BQ30" s="7">
        <f>'July 25'!BO30 + 'August 25'!BO30 +'Sept 25'!BO30 + 'Oct 25'!BO30 + 'Nov 25'!BO30+ 'Dec 25'!BO30 +'Jan 26'!BO30+'Feb 26'!BO30+'March 26'!BO30+'April 26'!BO30+'May 26'!BO30+'June 26'!BO30</f>
        <v>0</v>
      </c>
      <c r="BR30" s="7">
        <f>'July 25'!BP30 + 'August 25'!BP30 +'Sept 25'!BP30 + 'Oct 25'!BP30 + 'Nov 25'!BP30+ 'Dec 25'!BP30 +'Jan 26'!BP30+'Feb 26'!BP30+'March 26'!BP30+'April 26'!BP30+'May 26'!BP30+'June 26'!BP30</f>
        <v>0</v>
      </c>
      <c r="BS30" s="7">
        <f>'July 25'!BQ30 + 'August 25'!BQ30 +'Sept 25'!BQ30 + 'Oct 25'!BQ30 + 'Nov 25'!BQ30+ 'Dec 25'!BQ30 +'Jan 26'!BQ30+'Feb 26'!BQ30+'March 26'!BQ30+'April 26'!BQ30+'May 26'!BQ30+'June 26'!BQ30</f>
        <v>0</v>
      </c>
      <c r="BT30" s="7">
        <f>'July 25'!BR30 + 'August 25'!BR30 +'Sept 25'!BR30 + 'Oct 25'!BR30 + 'Nov 25'!BR30+ 'Dec 25'!BR30 +'Jan 26'!BR30+'Feb 26'!BR30+'March 26'!BR30+'April 26'!BR30+'May 26'!BR30+'June 26'!BR30</f>
        <v>0</v>
      </c>
      <c r="BU30" s="7">
        <f>'July 25'!BS30 + 'August 25'!BS30 +'Sept 25'!BS30 + 'Oct 25'!BS30 + 'Nov 25'!BS30+ 'Dec 25'!BS30 +'Jan 26'!BS30+'Feb 26'!BS30+'March 26'!BS30+'April 26'!BS30+'May 26'!BS30+'June 26'!BS30</f>
        <v>0</v>
      </c>
      <c r="BV30" s="7">
        <f>'July 25'!BT30 + 'August 25'!BT30 +'Sept 25'!BT30 + 'Oct 25'!BT30 + 'Nov 25'!BT30+ 'Dec 25'!BT30 +'Jan 26'!BT30+'Feb 26'!BT30+'March 26'!BT30+'April 26'!BT30+'May 26'!BT30+'June 26'!BT30</f>
        <v>0</v>
      </c>
      <c r="BW30" s="7">
        <f>'July 25'!BU30 + 'August 25'!BU30 +'Sept 25'!BU30 + 'Oct 25'!BU30 + 'Nov 25'!BU30+ 'Dec 25'!BU30 +'Jan 26'!BU30+'Feb 26'!BU30+'March 26'!BU30+'April 26'!BU30+'May 26'!BU30+'June 26'!BU30</f>
        <v>0</v>
      </c>
      <c r="BX30" s="7">
        <f>'July 25'!BV30 + 'August 25'!BV30 +'Sept 25'!BV30 + 'Oct 25'!BV30 + 'Nov 25'!BV30+ 'Dec 25'!BV30 +'Jan 26'!BV30+'Feb 26'!BV30+'March 26'!BV30+'April 26'!BV30+'May 26'!BV30+'June 26'!BV30</f>
        <v>720</v>
      </c>
      <c r="BY30" s="7">
        <f>'July 25'!BW30 + 'August 25'!BW30 +'Sept 25'!BW30 + 'Oct 25'!BW30 + 'Nov 25'!BW30+ 'Dec 25'!BW30 +'Jan 26'!BW30+'Feb 26'!BW30+'March 26'!BW30+'April 26'!BW30+'May 26'!BW30+'June 26'!BW30</f>
        <v>720</v>
      </c>
      <c r="BZ30" s="7">
        <f>'July 25'!BX30 + 'August 25'!BX30 +'Sept 25'!BX30 + 'Oct 25'!BX30 + 'Nov 25'!BX30+ 'Dec 25'!BX30 +'Jan 26'!BX30+'Feb 26'!BX30+'March 26'!BX30+'April 26'!BX30+'May 26'!BX30+'June 26'!BX30</f>
        <v>0</v>
      </c>
      <c r="CA30" s="7">
        <f>'July 25'!BY30 + 'August 25'!BY30 +'Sept 25'!BY30 + 'Oct 25'!BY30 + 'Nov 25'!BY30+ 'Dec 25'!BY30 +'Jan 26'!BY30+'Feb 26'!BY30+'March 26'!BY30+'April 26'!BY30+'May 26'!BY30+'June 26'!BY30</f>
        <v>0</v>
      </c>
      <c r="CB30" s="7">
        <f>'July 25'!BZ30 + 'August 25'!BZ30 +'Sept 25'!BZ30 + 'Oct 25'!BZ30 + 'Nov 25'!BZ30+ 'Dec 25'!BZ30 +'Jan 26'!BZ30+'Feb 26'!BZ30+'March 26'!BZ30+'April 26'!BZ30+'May 26'!BZ30+'June 26'!BZ30</f>
        <v>0</v>
      </c>
      <c r="CC30" s="7">
        <f>'July 25'!CA30 + 'August 25'!CA30 +'Sept 25'!CA30 + 'Oct 25'!CA30 + 'Nov 25'!CA30+ 'Dec 25'!CA30 +'Jan 26'!CA30+'Feb 26'!CA30+'March 26'!CA30+'April 26'!CA30+'May 26'!CA30+'June 26'!CA30</f>
        <v>0</v>
      </c>
      <c r="CD30" s="7">
        <f>'July 25'!CB30 + 'August 25'!CB30 +'Sept 25'!CB30 + 'Oct 25'!CB30 + 'Nov 25'!CB30+ 'Dec 25'!CB30 +'Jan 26'!CB30+'Feb 26'!CB30+'March 26'!CB30+'April 26'!CB30+'May 26'!CB30+'June 26'!CB30</f>
        <v>0</v>
      </c>
      <c r="CE30" s="7">
        <f>'July 25'!CC30 + 'August 25'!CC30 +'Sept 25'!CC30 + 'Oct 25'!CC30 + 'Nov 25'!CC30+ 'Dec 25'!CC30 +'Jan 26'!CC30+'Feb 26'!CC30+'March 26'!CC30+'April 26'!CC30+'May 26'!CC30+'June 26'!CC30</f>
        <v>0</v>
      </c>
      <c r="CF30" s="9" cm="1">
        <f t="array" ref="CF30">SUMPRODUCT(--(UPPER($F$2:$CE$2)="NET NEW"),$F30:$CE30)</f>
        <v>0</v>
      </c>
      <c r="CG30" s="4">
        <f>SUMIF($F$2:$CE$2,"Enhance Existing",$F30:$CE30)</f>
        <v>720</v>
      </c>
      <c r="CH30" s="4">
        <f>SUMIF($F$2:$CE$2,"Maintenance",$F30:$CE30)</f>
        <v>720</v>
      </c>
    </row>
    <row r="31" spans="1:86" ht="15.75" customHeight="1">
      <c r="A31" s="7"/>
      <c r="B31" s="7"/>
      <c r="C31" s="7"/>
      <c r="D31" s="7"/>
      <c r="E31" s="7"/>
      <c r="F31" s="7">
        <f>SUM(F3:F30)</f>
        <v>6360</v>
      </c>
      <c r="G31" s="7">
        <f t="shared" ref="G31:BR31" si="0">SUM(G3:G30)</f>
        <v>0</v>
      </c>
      <c r="H31" s="7">
        <f t="shared" si="0"/>
        <v>1668</v>
      </c>
      <c r="I31" s="7">
        <f t="shared" si="0"/>
        <v>5700</v>
      </c>
      <c r="J31" s="7">
        <f t="shared" si="0"/>
        <v>0</v>
      </c>
      <c r="K31" s="7">
        <f t="shared" si="0"/>
        <v>1273</v>
      </c>
      <c r="L31" s="7">
        <f t="shared" si="0"/>
        <v>0</v>
      </c>
      <c r="M31" s="7">
        <f t="shared" si="0"/>
        <v>0</v>
      </c>
      <c r="N31" s="7">
        <f t="shared" si="0"/>
        <v>315</v>
      </c>
      <c r="O31" s="7">
        <f t="shared" si="0"/>
        <v>0</v>
      </c>
      <c r="P31" s="7">
        <f t="shared" si="0"/>
        <v>575</v>
      </c>
      <c r="Q31" s="7">
        <f t="shared" si="0"/>
        <v>520</v>
      </c>
      <c r="R31" s="7">
        <f t="shared" si="0"/>
        <v>0</v>
      </c>
      <c r="S31" s="7">
        <f t="shared" si="0"/>
        <v>0</v>
      </c>
      <c r="T31" s="7">
        <f t="shared" si="0"/>
        <v>298</v>
      </c>
      <c r="U31" s="7">
        <f t="shared" si="0"/>
        <v>0</v>
      </c>
      <c r="V31" s="7">
        <f t="shared" si="0"/>
        <v>620</v>
      </c>
      <c r="W31" s="7">
        <f t="shared" si="0"/>
        <v>35</v>
      </c>
      <c r="X31" s="7">
        <f t="shared" si="0"/>
        <v>0</v>
      </c>
      <c r="Y31" s="7">
        <f t="shared" si="0"/>
        <v>30</v>
      </c>
      <c r="Z31" s="7">
        <f t="shared" si="0"/>
        <v>1130</v>
      </c>
      <c r="AA31" s="7">
        <f t="shared" si="0"/>
        <v>0</v>
      </c>
      <c r="AB31" s="7">
        <f t="shared" si="0"/>
        <v>508</v>
      </c>
      <c r="AC31" s="7">
        <f t="shared" si="0"/>
        <v>913</v>
      </c>
      <c r="AD31" s="7">
        <f t="shared" si="0"/>
        <v>0</v>
      </c>
      <c r="AE31" s="7">
        <f t="shared" si="0"/>
        <v>0</v>
      </c>
      <c r="AF31" s="7">
        <f t="shared" si="0"/>
        <v>389</v>
      </c>
      <c r="AG31" s="7">
        <f t="shared" si="0"/>
        <v>0</v>
      </c>
      <c r="AH31" s="7">
        <f t="shared" si="0"/>
        <v>10</v>
      </c>
      <c r="AI31" s="7">
        <f t="shared" si="0"/>
        <v>329</v>
      </c>
      <c r="AJ31" s="7">
        <f t="shared" si="0"/>
        <v>0</v>
      </c>
      <c r="AK31" s="7">
        <f t="shared" si="0"/>
        <v>0</v>
      </c>
      <c r="AL31" s="7">
        <f t="shared" si="0"/>
        <v>55</v>
      </c>
      <c r="AM31" s="7">
        <f t="shared" si="0"/>
        <v>0</v>
      </c>
      <c r="AN31" s="7">
        <f t="shared" si="0"/>
        <v>0</v>
      </c>
      <c r="AO31" s="7">
        <f t="shared" si="0"/>
        <v>1440</v>
      </c>
      <c r="AP31" s="7">
        <f t="shared" si="0"/>
        <v>0</v>
      </c>
      <c r="AQ31" s="7">
        <f t="shared" si="0"/>
        <v>0</v>
      </c>
      <c r="AR31" s="7">
        <f t="shared" si="0"/>
        <v>703</v>
      </c>
      <c r="AS31" s="7">
        <f t="shared" si="0"/>
        <v>0</v>
      </c>
      <c r="AT31" s="7">
        <f t="shared" si="0"/>
        <v>0</v>
      </c>
      <c r="AU31" s="7">
        <f t="shared" si="0"/>
        <v>760</v>
      </c>
      <c r="AV31" s="7">
        <f t="shared" si="0"/>
        <v>0</v>
      </c>
      <c r="AW31" s="7">
        <f t="shared" si="0"/>
        <v>0</v>
      </c>
      <c r="AX31" s="7">
        <f t="shared" si="0"/>
        <v>68</v>
      </c>
      <c r="AY31" s="7">
        <f t="shared" si="0"/>
        <v>0</v>
      </c>
      <c r="AZ31" s="7">
        <f t="shared" si="0"/>
        <v>0</v>
      </c>
      <c r="BA31" s="7">
        <f t="shared" si="0"/>
        <v>0</v>
      </c>
      <c r="BB31" s="7">
        <f t="shared" si="0"/>
        <v>0</v>
      </c>
      <c r="BC31" s="7">
        <f t="shared" si="0"/>
        <v>0</v>
      </c>
      <c r="BD31" s="7">
        <f t="shared" si="0"/>
        <v>10</v>
      </c>
      <c r="BE31" s="7">
        <f t="shared" si="0"/>
        <v>0</v>
      </c>
      <c r="BF31" s="7">
        <f t="shared" si="0"/>
        <v>0</v>
      </c>
      <c r="BG31" s="7">
        <f t="shared" si="0"/>
        <v>106</v>
      </c>
      <c r="BH31" s="7">
        <f t="shared" si="0"/>
        <v>940</v>
      </c>
      <c r="BI31" s="7">
        <f t="shared" si="0"/>
        <v>240</v>
      </c>
      <c r="BJ31" s="7">
        <f t="shared" si="0"/>
        <v>5</v>
      </c>
      <c r="BK31" s="7">
        <f t="shared" si="0"/>
        <v>0</v>
      </c>
      <c r="BL31" s="7">
        <f t="shared" si="0"/>
        <v>0</v>
      </c>
      <c r="BM31" s="7">
        <f t="shared" si="0"/>
        <v>0</v>
      </c>
      <c r="BN31" s="7">
        <f t="shared" si="0"/>
        <v>0</v>
      </c>
      <c r="BO31" s="7">
        <f t="shared" si="0"/>
        <v>0</v>
      </c>
      <c r="BP31" s="7">
        <f t="shared" si="0"/>
        <v>80</v>
      </c>
      <c r="BQ31" s="7">
        <f t="shared" si="0"/>
        <v>0</v>
      </c>
      <c r="BR31" s="7">
        <f t="shared" si="0"/>
        <v>0</v>
      </c>
      <c r="BS31" s="7">
        <f t="shared" ref="BS31:CH31" si="1">SUM(BS3:BS30)</f>
        <v>121</v>
      </c>
      <c r="BT31" s="7">
        <f t="shared" si="1"/>
        <v>0</v>
      </c>
      <c r="BU31" s="7">
        <f t="shared" si="1"/>
        <v>0</v>
      </c>
      <c r="BV31" s="7">
        <f t="shared" si="1"/>
        <v>0</v>
      </c>
      <c r="BW31" s="7">
        <f t="shared" si="1"/>
        <v>0</v>
      </c>
      <c r="BX31" s="7">
        <f t="shared" si="1"/>
        <v>1648</v>
      </c>
      <c r="BY31" s="7">
        <f t="shared" si="1"/>
        <v>10571</v>
      </c>
      <c r="BZ31" s="7">
        <f t="shared" si="1"/>
        <v>160</v>
      </c>
      <c r="CA31" s="7">
        <f t="shared" si="1"/>
        <v>0</v>
      </c>
      <c r="CB31" s="7">
        <f t="shared" si="1"/>
        <v>916</v>
      </c>
      <c r="CC31" s="7">
        <f t="shared" si="1"/>
        <v>0</v>
      </c>
      <c r="CD31" s="7">
        <f t="shared" si="1"/>
        <v>0</v>
      </c>
      <c r="CE31" s="7">
        <f t="shared" si="1"/>
        <v>167</v>
      </c>
      <c r="CF31" s="7">
        <f t="shared" si="1"/>
        <v>13160</v>
      </c>
      <c r="CG31">
        <f t="shared" si="1"/>
        <v>3631</v>
      </c>
      <c r="CH31">
        <f t="shared" si="1"/>
        <v>21872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E5FE-9A84-4F54-BA9D-74E0B2FB9FC9}">
  <dimension ref="A1:CH31"/>
  <sheetViews>
    <sheetView workbookViewId="0">
      <pane xSplit="2" topLeftCell="C1" activePane="topRight" state="frozen"/>
      <selection pane="topRight" activeCell="C30" sqref="C30:BW30"/>
    </sheetView>
  </sheetViews>
  <sheetFormatPr defaultColWidth="11" defaultRowHeight="15.95"/>
  <cols>
    <col min="1" max="1" width="8.375" customWidth="1"/>
    <col min="2" max="2" width="18.875" bestFit="1" customWidth="1"/>
    <col min="3" max="4" width="7.625" bestFit="1" customWidth="1"/>
    <col min="5" max="5" width="8" bestFit="1" customWidth="1"/>
    <col min="6" max="6" width="11.875" bestFit="1" customWidth="1"/>
    <col min="7" max="7" width="7" bestFit="1" customWidth="1"/>
    <col min="8" max="8" width="8" bestFit="1" customWidth="1"/>
    <col min="9" max="9" width="11.875" bestFit="1" customWidth="1"/>
    <col min="10" max="10" width="7" bestFit="1" customWidth="1"/>
    <col min="11" max="11" width="8" bestFit="1" customWidth="1"/>
    <col min="12" max="12" width="11.875" bestFit="1" customWidth="1"/>
    <col min="13" max="14" width="8.875" bestFit="1" customWidth="1"/>
    <col min="15" max="15" width="11.875" bestFit="1" customWidth="1"/>
    <col min="16" max="18" width="13" bestFit="1" customWidth="1"/>
    <col min="19" max="19" width="7" bestFit="1" customWidth="1"/>
    <col min="20" max="20" width="8" bestFit="1" customWidth="1"/>
    <col min="21" max="21" width="11.875" bestFit="1" customWidth="1"/>
    <col min="22" max="22" width="7" bestFit="1" customWidth="1"/>
    <col min="23" max="23" width="8" bestFit="1" customWidth="1"/>
    <col min="24" max="24" width="11.875" bestFit="1" customWidth="1"/>
    <col min="25" max="25" width="7" bestFit="1" customWidth="1"/>
    <col min="26" max="26" width="8" bestFit="1" customWidth="1"/>
    <col min="27" max="27" width="11.875" bestFit="1" customWidth="1"/>
    <col min="28" max="28" width="7" bestFit="1" customWidth="1"/>
    <col min="29" max="29" width="8" bestFit="1" customWidth="1"/>
    <col min="30" max="30" width="11.875" bestFit="1" customWidth="1"/>
    <col min="31" max="31" width="7" bestFit="1" customWidth="1"/>
    <col min="32" max="32" width="8" bestFit="1" customWidth="1"/>
    <col min="33" max="33" width="11.875" bestFit="1" customWidth="1"/>
    <col min="36" max="36" width="11.875" bestFit="1" customWidth="1"/>
    <col min="37" max="39" width="14.375" bestFit="1" customWidth="1"/>
    <col min="40" max="40" width="7" bestFit="1" customWidth="1"/>
    <col min="41" max="41" width="8" bestFit="1" customWidth="1"/>
    <col min="42" max="42" width="11.875" bestFit="1" customWidth="1"/>
    <col min="43" max="44" width="9.875" bestFit="1" customWidth="1"/>
    <col min="45" max="45" width="11.875" bestFit="1" customWidth="1"/>
    <col min="46" max="48" width="17.5" bestFit="1" customWidth="1"/>
    <col min="49" max="49" width="7" bestFit="1" customWidth="1"/>
    <col min="50" max="50" width="8" bestFit="1" customWidth="1"/>
    <col min="51" max="51" width="11.875" bestFit="1" customWidth="1"/>
    <col min="52" max="54" width="18.125" bestFit="1" customWidth="1"/>
    <col min="55" max="55" width="7" bestFit="1" customWidth="1"/>
    <col min="56" max="56" width="8" bestFit="1" customWidth="1"/>
    <col min="57" max="57" width="11.875" bestFit="1" customWidth="1"/>
    <col min="58" max="59" width="11.5" bestFit="1" customWidth="1"/>
    <col min="60" max="60" width="11.875" bestFit="1" customWidth="1"/>
    <col min="61" max="62" width="11.625" bestFit="1" customWidth="1"/>
    <col min="63" max="63" width="11.875" bestFit="1" customWidth="1"/>
    <col min="64" max="65" width="8.375" bestFit="1" customWidth="1"/>
    <col min="66" max="66" width="11.875" bestFit="1" customWidth="1"/>
    <col min="67" max="68" width="8" bestFit="1" customWidth="1"/>
    <col min="69" max="69" width="11.875" bestFit="1" customWidth="1"/>
    <col min="70" max="71" width="11.625" bestFit="1" customWidth="1"/>
    <col min="72" max="72" width="11.875" bestFit="1" customWidth="1"/>
    <col min="73" max="75" width="17.125" bestFit="1" customWidth="1"/>
    <col min="76" max="76" width="15.125" customWidth="1"/>
    <col min="77" max="77" width="14.125" customWidth="1"/>
    <col min="78" max="78" width="11.5" bestFit="1" customWidth="1"/>
    <col min="79" max="80" width="10.375" bestFit="1" customWidth="1"/>
    <col min="81" max="81" width="13.625" customWidth="1"/>
    <col min="82" max="120" width="2.125" bestFit="1" customWidth="1"/>
  </cols>
  <sheetData>
    <row r="1" spans="1:86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  <c r="CE1" s="1" t="str">
        <f>Master!CG1</f>
        <v>Totals</v>
      </c>
      <c r="CF1" s="1" t="str">
        <f>Master!CH1</f>
        <v>Totals</v>
      </c>
      <c r="CG1" s="1">
        <f>Master!CI1</f>
        <v>0</v>
      </c>
      <c r="CH1" s="1">
        <f>Master!CJ1</f>
        <v>0</v>
      </c>
    </row>
    <row r="2" spans="1:86" s="1" customFormat="1">
      <c r="A2" s="1" t="s">
        <v>28</v>
      </c>
      <c r="B2" s="1" t="s">
        <v>30</v>
      </c>
      <c r="C2" s="1">
        <f>Master!E2</f>
        <v>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  <c r="CE2" s="1" t="str">
        <f>Master!CG2</f>
        <v>Enhance Existing Hours</v>
      </c>
    </row>
    <row r="3" spans="1:86">
      <c r="A3" t="str">
        <f>Master!A3</f>
        <v>Sr. Dev</v>
      </c>
      <c r="B3" t="str">
        <f>Master!C3</f>
        <v>Steven McKee</v>
      </c>
      <c r="G3">
        <v>120</v>
      </c>
    </row>
    <row r="4" spans="1:86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86">
      <c r="A5" t="str">
        <f>Master!A5</f>
        <v>Sr. Dev</v>
      </c>
      <c r="B5" t="str">
        <f>Master!C5</f>
        <v xml:space="preserve">Tony </v>
      </c>
      <c r="G5">
        <v>120</v>
      </c>
    </row>
    <row r="6" spans="1:86">
      <c r="A6" t="str">
        <f>Master!A6</f>
        <v>Dev</v>
      </c>
      <c r="B6" t="str">
        <f>Master!C6</f>
        <v>Lalitha</v>
      </c>
      <c r="R6">
        <v>4</v>
      </c>
      <c r="AD6">
        <v>12</v>
      </c>
      <c r="BQ6">
        <v>8</v>
      </c>
      <c r="BW6">
        <v>95</v>
      </c>
      <c r="BZ6">
        <v>7</v>
      </c>
    </row>
    <row r="7" spans="1:86">
      <c r="A7" t="str">
        <f>Master!A7</f>
        <v>Sr. Dev</v>
      </c>
      <c r="B7" t="str">
        <f>Master!C7</f>
        <v>Greg Marcum</v>
      </c>
      <c r="F7">
        <v>8</v>
      </c>
      <c r="I7">
        <v>47</v>
      </c>
      <c r="AG7">
        <v>14</v>
      </c>
      <c r="AV7">
        <v>11</v>
      </c>
      <c r="BB7">
        <v>10</v>
      </c>
      <c r="BE7">
        <v>2</v>
      </c>
      <c r="BW7">
        <v>36</v>
      </c>
      <c r="BZ7">
        <v>4</v>
      </c>
    </row>
    <row r="8" spans="1:86">
      <c r="A8" t="str">
        <f>Master!A8</f>
        <v>Dev</v>
      </c>
      <c r="B8" t="str">
        <f>Master!C8</f>
        <v>Simrath</v>
      </c>
      <c r="N8">
        <v>2</v>
      </c>
      <c r="AD8">
        <v>21</v>
      </c>
      <c r="AP8">
        <v>23</v>
      </c>
      <c r="AS8">
        <v>9</v>
      </c>
      <c r="BH8">
        <v>5</v>
      </c>
      <c r="BW8">
        <v>55</v>
      </c>
      <c r="CC8">
        <v>4</v>
      </c>
    </row>
    <row r="9" spans="1:86">
      <c r="A9" t="str">
        <f>Master!A9</f>
        <v>Dev</v>
      </c>
      <c r="B9" t="str">
        <f>Master!C9</f>
        <v>Sriram</v>
      </c>
      <c r="AP9">
        <v>18</v>
      </c>
      <c r="AS9">
        <v>45</v>
      </c>
      <c r="BW9">
        <v>46</v>
      </c>
    </row>
    <row r="10" spans="1:86">
      <c r="A10" t="str">
        <f>Master!A10</f>
        <v>Dev</v>
      </c>
      <c r="B10" t="str">
        <f>Master!C10</f>
        <v>Justin Meshew</v>
      </c>
      <c r="N10">
        <v>4</v>
      </c>
      <c r="R10">
        <v>20</v>
      </c>
      <c r="AD10">
        <v>9</v>
      </c>
      <c r="BW10">
        <v>4</v>
      </c>
      <c r="BZ10">
        <v>42</v>
      </c>
      <c r="CC10">
        <v>35</v>
      </c>
    </row>
    <row r="11" spans="1:86">
      <c r="A11" t="str">
        <f>Master!A11</f>
        <v>Sr. Dev</v>
      </c>
      <c r="B11" t="str">
        <f>Master!C11</f>
        <v>Ryan Dailey</v>
      </c>
      <c r="BW11">
        <v>126</v>
      </c>
    </row>
    <row r="12" spans="1:86">
      <c r="A12" t="str">
        <f>Master!A12</f>
        <v>Dev</v>
      </c>
      <c r="B12" t="str">
        <f>Master!C12</f>
        <v>Dean Bowles</v>
      </c>
      <c r="AS12">
        <v>2</v>
      </c>
      <c r="BW12">
        <v>71</v>
      </c>
    </row>
    <row r="13" spans="1:86">
      <c r="A13" t="str">
        <f>Master!A13</f>
        <v>Sr. Dev</v>
      </c>
      <c r="B13" t="str">
        <f>Master!C13</f>
        <v>Donnie</v>
      </c>
      <c r="D13">
        <v>100</v>
      </c>
      <c r="F13">
        <v>20</v>
      </c>
    </row>
    <row r="14" spans="1:86">
      <c r="A14" t="str">
        <f>Master!A14</f>
        <v>Sr. Dev</v>
      </c>
      <c r="B14" t="str">
        <f>Master!C14</f>
        <v>Mark</v>
      </c>
      <c r="D14">
        <v>120</v>
      </c>
    </row>
    <row r="15" spans="1:86">
      <c r="A15" t="str">
        <f>Master!A15</f>
        <v>Dev</v>
      </c>
      <c r="B15" t="str">
        <f>Master!C15</f>
        <v>Kasey Goodwin</v>
      </c>
    </row>
    <row r="16" spans="1:86">
      <c r="A16" t="str">
        <f>Master!A16</f>
        <v>Sr. Dev</v>
      </c>
      <c r="B16" t="str">
        <f>Master!C16</f>
        <v>Greg Brethen</v>
      </c>
    </row>
    <row r="17" spans="1:75">
      <c r="A17" t="str">
        <f>Master!A17</f>
        <v xml:space="preserve">QA </v>
      </c>
      <c r="B17" t="str">
        <f>Master!C17</f>
        <v>Jackie Zweck</v>
      </c>
      <c r="G17">
        <v>100</v>
      </c>
      <c r="U17">
        <v>5</v>
      </c>
      <c r="AG17">
        <v>5</v>
      </c>
      <c r="BW17">
        <v>10</v>
      </c>
    </row>
    <row r="18" spans="1:75">
      <c r="A18" t="str">
        <f>Master!A18</f>
        <v>Dev</v>
      </c>
      <c r="B18" t="str">
        <f>Master!C18</f>
        <v>Thanuja Bachala</v>
      </c>
      <c r="G18">
        <v>120</v>
      </c>
    </row>
    <row r="19" spans="1:75">
      <c r="A19" t="str">
        <f>Master!A19</f>
        <v xml:space="preserve">QA </v>
      </c>
      <c r="B19" t="str">
        <f>Master!C19</f>
        <v>Neeharika Gadela</v>
      </c>
      <c r="D19">
        <v>20</v>
      </c>
      <c r="BW19">
        <v>100</v>
      </c>
    </row>
    <row r="20" spans="1:75">
      <c r="A20" t="str">
        <f>Master!A20</f>
        <v xml:space="preserve">QA </v>
      </c>
      <c r="B20" t="str">
        <f>Master!C20</f>
        <v>Akhil Musani</v>
      </c>
      <c r="D20">
        <v>80</v>
      </c>
      <c r="F20">
        <v>10</v>
      </c>
      <c r="BW20">
        <v>20</v>
      </c>
    </row>
    <row r="21" spans="1:75">
      <c r="A21" t="str">
        <f>Master!A21</f>
        <v>Product</v>
      </c>
      <c r="B21" t="str">
        <f>Master!C21</f>
        <v>Eunice Jallah</v>
      </c>
      <c r="BG21">
        <v>20</v>
      </c>
      <c r="BW21">
        <v>100</v>
      </c>
    </row>
    <row r="22" spans="1:75">
      <c r="A22" t="str">
        <f>Master!A22</f>
        <v>Product</v>
      </c>
      <c r="B22" t="str">
        <f>Master!C22</f>
        <v>Meera Mehta</v>
      </c>
      <c r="T22">
        <v>40</v>
      </c>
      <c r="U22">
        <v>30</v>
      </c>
      <c r="BW22">
        <v>50</v>
      </c>
    </row>
    <row r="23" spans="1:75">
      <c r="A23" t="str">
        <f>Master!A23</f>
        <v>Product</v>
      </c>
      <c r="B23" t="str">
        <f>Master!C23</f>
        <v>Rojina Thapa</v>
      </c>
      <c r="L23">
        <v>75</v>
      </c>
      <c r="AG23">
        <v>20</v>
      </c>
      <c r="AS23">
        <v>5</v>
      </c>
      <c r="BE23">
        <v>5</v>
      </c>
      <c r="BW23">
        <v>15</v>
      </c>
    </row>
    <row r="24" spans="1:75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5">
      <c r="A25" t="str">
        <f>Master!A25</f>
        <v>Product</v>
      </c>
      <c r="B25" t="str">
        <f>Master!C25</f>
        <v>Catherine Horton</v>
      </c>
      <c r="AM25">
        <v>120</v>
      </c>
    </row>
    <row r="26" spans="1:75">
      <c r="A26" t="str">
        <f>Master!A26</f>
        <v xml:space="preserve">Product </v>
      </c>
      <c r="B26" t="str">
        <f>Master!C26</f>
        <v>Latha Ramasamy</v>
      </c>
      <c r="G26">
        <v>120</v>
      </c>
    </row>
    <row r="27" spans="1:75">
      <c r="A27" t="str">
        <f>Master!A27</f>
        <v>Sr. Dev</v>
      </c>
      <c r="B27" t="str">
        <f>Master!C27</f>
        <v>Claire Smith-Edwards</v>
      </c>
      <c r="D27">
        <v>120</v>
      </c>
    </row>
    <row r="28" spans="1:75">
      <c r="A28" t="str">
        <f>Master!A28</f>
        <v>Dev</v>
      </c>
      <c r="B28" t="str">
        <f>Master!C28</f>
        <v>Vinay Sunkyredi</v>
      </c>
      <c r="D28">
        <v>60</v>
      </c>
      <c r="AA28">
        <v>60</v>
      </c>
    </row>
    <row r="29" spans="1:75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5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  <row r="31" spans="1:75">
      <c r="B31">
        <f>Master!C31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18FB-8464-4D82-ADBB-2F09B09E0875}">
  <dimension ref="A1:DP31"/>
  <sheetViews>
    <sheetView workbookViewId="0">
      <pane xSplit="2" topLeftCell="AY1" activePane="topRight" state="frozen"/>
      <selection pane="topRight" activeCell="BN27" sqref="BN27"/>
    </sheetView>
  </sheetViews>
  <sheetFormatPr defaultColWidth="11" defaultRowHeight="15.95"/>
  <cols>
    <col min="1" max="1" width="7.5" bestFit="1" customWidth="1"/>
    <col min="2" max="2" width="18.8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120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  <c r="CE1" s="1" t="str">
        <f>Master!CG1</f>
        <v>Totals</v>
      </c>
      <c r="CF1" s="1" t="str">
        <f>Master!CH1</f>
        <v>Totals</v>
      </c>
      <c r="CG1" s="1">
        <f>Master!CI1</f>
        <v>0</v>
      </c>
      <c r="CH1" s="1">
        <f>Master!CJ1</f>
        <v>0</v>
      </c>
      <c r="CI1" s="1">
        <f>Master!CK1</f>
        <v>0</v>
      </c>
      <c r="CJ1" s="1">
        <f>Master!CL1</f>
        <v>0</v>
      </c>
      <c r="CK1" s="1">
        <f>Master!CM1</f>
        <v>0</v>
      </c>
      <c r="CL1" s="1">
        <f>Master!CN1</f>
        <v>0</v>
      </c>
      <c r="CM1" s="1">
        <f>Master!CO1</f>
        <v>0</v>
      </c>
      <c r="CN1" s="1">
        <f>Master!CP1</f>
        <v>0</v>
      </c>
      <c r="CO1" s="1">
        <f>Master!CQ1</f>
        <v>0</v>
      </c>
      <c r="CP1" s="1">
        <f>Master!CR1</f>
        <v>0</v>
      </c>
      <c r="CQ1" s="1">
        <f>Master!CS1</f>
        <v>0</v>
      </c>
      <c r="CR1" s="1">
        <f>Master!CT1</f>
        <v>0</v>
      </c>
      <c r="CS1" s="1">
        <f>Master!CU1</f>
        <v>0</v>
      </c>
      <c r="CT1" s="1">
        <f>Master!CV1</f>
        <v>0</v>
      </c>
      <c r="CU1" s="1">
        <f>Master!CW1</f>
        <v>0</v>
      </c>
      <c r="CV1" s="1">
        <f>Master!CX1</f>
        <v>0</v>
      </c>
      <c r="CW1" s="1">
        <f>Master!CY1</f>
        <v>0</v>
      </c>
      <c r="CX1" s="1">
        <f>Master!CZ1</f>
        <v>0</v>
      </c>
      <c r="CY1" s="1">
        <f>Master!DA1</f>
        <v>0</v>
      </c>
      <c r="CZ1" s="1">
        <f>Master!DB1</f>
        <v>0</v>
      </c>
      <c r="DA1" s="1">
        <f>Master!DC1</f>
        <v>0</v>
      </c>
      <c r="DB1" s="1">
        <f>Master!DD1</f>
        <v>0</v>
      </c>
      <c r="DC1" s="1">
        <f>Master!DE1</f>
        <v>0</v>
      </c>
      <c r="DD1" s="1">
        <f>Master!DF1</f>
        <v>0</v>
      </c>
      <c r="DE1" s="1">
        <f>Master!DG1</f>
        <v>0</v>
      </c>
      <c r="DF1" s="1">
        <f>Master!DH1</f>
        <v>0</v>
      </c>
      <c r="DG1" s="1">
        <f>Master!DI1</f>
        <v>0</v>
      </c>
      <c r="DH1" s="1">
        <f>Master!DJ1</f>
        <v>0</v>
      </c>
      <c r="DI1" s="1">
        <f>Master!DK1</f>
        <v>0</v>
      </c>
      <c r="DJ1" s="1">
        <f>Master!DL1</f>
        <v>0</v>
      </c>
      <c r="DK1" s="1">
        <f>Master!DM1</f>
        <v>0</v>
      </c>
      <c r="DL1" s="1">
        <f>Master!DN1</f>
        <v>0</v>
      </c>
      <c r="DM1" s="1">
        <f>Master!DO1</f>
        <v>0</v>
      </c>
      <c r="DN1" s="1">
        <f>Master!DP1</f>
        <v>0</v>
      </c>
      <c r="DO1" s="1">
        <f>Master!DQ1</f>
        <v>0</v>
      </c>
      <c r="DP1" s="1">
        <f>Master!DR1</f>
        <v>0</v>
      </c>
    </row>
    <row r="2" spans="1:120" s="1" customFormat="1">
      <c r="A2" s="1" t="s">
        <v>28</v>
      </c>
      <c r="B2" s="1" t="s">
        <v>30</v>
      </c>
      <c r="C2" s="1">
        <f>Master!E2</f>
        <v>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120">
      <c r="A3" t="str">
        <f>Master!A3</f>
        <v>Sr. Dev</v>
      </c>
      <c r="B3" t="str">
        <f>Master!C3</f>
        <v>Steven McKee</v>
      </c>
      <c r="G3">
        <v>120</v>
      </c>
    </row>
    <row r="4" spans="1:120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120">
      <c r="A5" t="str">
        <f>Master!A5</f>
        <v>Sr. Dev</v>
      </c>
      <c r="B5" t="str">
        <f>Master!C5</f>
        <v xml:space="preserve">Tony </v>
      </c>
      <c r="G5">
        <v>120</v>
      </c>
    </row>
    <row r="6" spans="1:120">
      <c r="A6" t="str">
        <f>Master!A6</f>
        <v>Dev</v>
      </c>
      <c r="B6" t="str">
        <f>Master!C6</f>
        <v>Lalitha</v>
      </c>
      <c r="R6">
        <v>8</v>
      </c>
      <c r="AD6">
        <v>12</v>
      </c>
      <c r="BQ6">
        <v>5</v>
      </c>
      <c r="BW6">
        <v>86</v>
      </c>
      <c r="BZ6">
        <v>15</v>
      </c>
    </row>
    <row r="7" spans="1:120">
      <c r="A7" t="str">
        <f>Master!A7</f>
        <v>Sr. Dev</v>
      </c>
      <c r="B7" t="str">
        <f>Master!C7</f>
        <v>Greg Marcum</v>
      </c>
      <c r="I7">
        <v>39</v>
      </c>
      <c r="AG7">
        <v>14</v>
      </c>
      <c r="AV7">
        <v>20</v>
      </c>
      <c r="BE7">
        <v>2</v>
      </c>
      <c r="BW7">
        <v>43</v>
      </c>
      <c r="BZ7">
        <v>8</v>
      </c>
    </row>
    <row r="8" spans="1:120">
      <c r="A8" t="str">
        <f>Master!A8</f>
        <v>Dev</v>
      </c>
      <c r="B8" t="str">
        <f>Master!C8</f>
        <v>Simrath</v>
      </c>
      <c r="AD8">
        <v>8</v>
      </c>
      <c r="AP8">
        <v>23</v>
      </c>
      <c r="AS8">
        <v>3</v>
      </c>
      <c r="BW8">
        <v>75</v>
      </c>
      <c r="CC8">
        <v>5</v>
      </c>
    </row>
    <row r="9" spans="1:120">
      <c r="A9" t="str">
        <f>Master!A9</f>
        <v>Dev</v>
      </c>
      <c r="B9" t="str">
        <f>Master!C9</f>
        <v>Sriram</v>
      </c>
      <c r="AP9">
        <v>24</v>
      </c>
      <c r="AS9">
        <v>43</v>
      </c>
      <c r="BF9">
        <v>8</v>
      </c>
      <c r="BW9">
        <v>39</v>
      </c>
    </row>
    <row r="10" spans="1:120">
      <c r="A10" t="str">
        <f>Master!A10</f>
        <v>Dev</v>
      </c>
      <c r="B10" t="str">
        <f>Master!C10</f>
        <v>Justin Meshew</v>
      </c>
      <c r="N10">
        <v>3</v>
      </c>
      <c r="R10">
        <v>14</v>
      </c>
      <c r="AD10">
        <v>11</v>
      </c>
      <c r="BW10">
        <v>4</v>
      </c>
      <c r="BZ10">
        <v>62</v>
      </c>
      <c r="CC10">
        <v>20</v>
      </c>
    </row>
    <row r="11" spans="1:120">
      <c r="A11" t="str">
        <f>Master!A11</f>
        <v>Sr. Dev</v>
      </c>
      <c r="B11" t="str">
        <f>Master!C11</f>
        <v>Ryan Dailey</v>
      </c>
      <c r="BW11">
        <v>114</v>
      </c>
    </row>
    <row r="12" spans="1:120">
      <c r="A12" t="str">
        <f>Master!A12</f>
        <v>Dev</v>
      </c>
      <c r="B12" t="str">
        <f>Master!C12</f>
        <v>Dean Bowles</v>
      </c>
    </row>
    <row r="13" spans="1:120">
      <c r="A13" t="str">
        <f>Master!A13</f>
        <v>Sr. Dev</v>
      </c>
      <c r="B13" t="str">
        <f>Master!C13</f>
        <v>Donnie</v>
      </c>
      <c r="D13">
        <v>100</v>
      </c>
      <c r="F13">
        <v>20</v>
      </c>
    </row>
    <row r="14" spans="1:120">
      <c r="A14" t="str">
        <f>Master!A14</f>
        <v>Sr. Dev</v>
      </c>
      <c r="B14" t="str">
        <f>Master!C14</f>
        <v>Mark</v>
      </c>
      <c r="D14">
        <v>120</v>
      </c>
    </row>
    <row r="15" spans="1:120">
      <c r="A15" t="str">
        <f>Master!A15</f>
        <v>Dev</v>
      </c>
      <c r="B15" t="str">
        <f>Master!C15</f>
        <v>Kasey Goodwin</v>
      </c>
    </row>
    <row r="16" spans="1:120">
      <c r="A16" t="str">
        <f>Master!A16</f>
        <v>Sr. Dev</v>
      </c>
      <c r="B16" t="str">
        <f>Master!C16</f>
        <v>Greg Brethen</v>
      </c>
    </row>
    <row r="17" spans="1:75">
      <c r="A17" t="str">
        <f>Master!A17</f>
        <v xml:space="preserve">QA </v>
      </c>
      <c r="B17" t="str">
        <f>Master!C17</f>
        <v>Jackie Zweck</v>
      </c>
      <c r="G17">
        <v>100</v>
      </c>
      <c r="I17">
        <v>100</v>
      </c>
      <c r="BW17">
        <v>20</v>
      </c>
    </row>
    <row r="18" spans="1:75">
      <c r="A18" t="str">
        <f>Master!A18</f>
        <v>Dev</v>
      </c>
      <c r="B18" t="str">
        <f>Master!C18</f>
        <v>Thanuja Bachala</v>
      </c>
      <c r="G18">
        <v>100</v>
      </c>
      <c r="I18">
        <v>100</v>
      </c>
      <c r="BW18">
        <v>20</v>
      </c>
    </row>
    <row r="19" spans="1:75">
      <c r="A19" t="str">
        <f>Master!A19</f>
        <v xml:space="preserve">QA </v>
      </c>
      <c r="B19" t="str">
        <f>Master!C19</f>
        <v>Neeharika Gadela</v>
      </c>
      <c r="D19">
        <v>10</v>
      </c>
      <c r="BW19">
        <v>110</v>
      </c>
    </row>
    <row r="20" spans="1:75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AD20">
        <v>5</v>
      </c>
      <c r="AJ20">
        <v>5</v>
      </c>
      <c r="BW20">
        <v>10</v>
      </c>
    </row>
    <row r="21" spans="1:75">
      <c r="A21" t="str">
        <f>Master!A21</f>
        <v>Product</v>
      </c>
      <c r="B21" t="str">
        <f>Master!C21</f>
        <v>Eunice Jallah</v>
      </c>
      <c r="T21">
        <v>10</v>
      </c>
      <c r="AP21">
        <v>10</v>
      </c>
      <c r="BG21">
        <v>10</v>
      </c>
      <c r="BW21">
        <v>90</v>
      </c>
    </row>
    <row r="22" spans="1:75">
      <c r="A22" t="str">
        <f>Master!A22</f>
        <v>Product</v>
      </c>
      <c r="B22" t="str">
        <f>Master!C22</f>
        <v>Meera Mehta</v>
      </c>
      <c r="T22">
        <v>90</v>
      </c>
      <c r="BW22">
        <v>30</v>
      </c>
    </row>
    <row r="23" spans="1:75">
      <c r="A23" t="str">
        <f>Master!A23</f>
        <v>Product</v>
      </c>
      <c r="B23" t="str">
        <f>Master!C23</f>
        <v>Rojina Thapa</v>
      </c>
      <c r="L23">
        <v>10</v>
      </c>
      <c r="R23">
        <v>5</v>
      </c>
      <c r="AG23">
        <v>15</v>
      </c>
      <c r="AS23">
        <v>5</v>
      </c>
      <c r="BE23">
        <v>5</v>
      </c>
      <c r="BW23">
        <v>15</v>
      </c>
    </row>
    <row r="24" spans="1:75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5">
      <c r="A25" t="str">
        <f>Master!A25</f>
        <v>Product</v>
      </c>
      <c r="B25" t="str">
        <f>Master!C25</f>
        <v>Catherine Horton</v>
      </c>
      <c r="AM25">
        <v>120</v>
      </c>
    </row>
    <row r="26" spans="1:75">
      <c r="A26" t="str">
        <f>Master!A26</f>
        <v xml:space="preserve">Product </v>
      </c>
      <c r="B26" t="str">
        <f>Master!C26</f>
        <v>Latha Ramasamy</v>
      </c>
      <c r="G26">
        <v>100</v>
      </c>
      <c r="BN26">
        <v>20</v>
      </c>
    </row>
    <row r="27" spans="1:75">
      <c r="A27" t="str">
        <f>Master!A27</f>
        <v>Sr. Dev</v>
      </c>
      <c r="B27" t="str">
        <f>Master!C27</f>
        <v>Claire Smith-Edwards</v>
      </c>
      <c r="D27">
        <v>120</v>
      </c>
    </row>
    <row r="28" spans="1:75">
      <c r="A28" t="str">
        <f>Master!A28</f>
        <v>Dev</v>
      </c>
      <c r="B28" t="str">
        <f>Master!C28</f>
        <v>Vinay Sunkyredi</v>
      </c>
      <c r="D28">
        <v>60</v>
      </c>
      <c r="AA28">
        <v>60</v>
      </c>
    </row>
    <row r="29" spans="1:75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5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  <row r="31" spans="1:75">
      <c r="B31">
        <f>Master!C31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F24E-49A0-4EF2-BC74-EE071C684E13}">
  <dimension ref="A1:DP31"/>
  <sheetViews>
    <sheetView workbookViewId="0">
      <pane xSplit="2" topLeftCell="C1" activePane="topRight" state="frozen"/>
      <selection pane="topRight" activeCell="C30" sqref="C30:BW30"/>
    </sheetView>
  </sheetViews>
  <sheetFormatPr defaultColWidth="11" defaultRowHeight="15.95"/>
  <cols>
    <col min="1" max="1" width="7.5" bestFit="1" customWidth="1"/>
    <col min="2" max="2" width="18.8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  <col min="48" max="48" width="21" customWidth="1"/>
    <col min="53" max="53" width="17.125" customWidth="1"/>
  </cols>
  <sheetData>
    <row r="1" spans="1:120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  <c r="CE1" s="1" t="str">
        <f>Master!CG1</f>
        <v>Totals</v>
      </c>
      <c r="CF1" s="1" t="str">
        <f>Master!CH1</f>
        <v>Totals</v>
      </c>
      <c r="CG1" s="1">
        <f>Master!CI1</f>
        <v>0</v>
      </c>
      <c r="CH1" s="1">
        <f>Master!CJ1</f>
        <v>0</v>
      </c>
      <c r="CI1" s="1">
        <f>Master!CK1</f>
        <v>0</v>
      </c>
      <c r="CJ1" s="1">
        <f>Master!CL1</f>
        <v>0</v>
      </c>
      <c r="CK1" s="1">
        <f>Master!CM1</f>
        <v>0</v>
      </c>
      <c r="CL1" s="1">
        <f>Master!CN1</f>
        <v>0</v>
      </c>
      <c r="CM1" s="1">
        <f>Master!CO1</f>
        <v>0</v>
      </c>
      <c r="CN1" s="1">
        <f>Master!CP1</f>
        <v>0</v>
      </c>
      <c r="CO1" s="1">
        <f>Master!CQ1</f>
        <v>0</v>
      </c>
      <c r="CP1" s="1">
        <f>Master!CR1</f>
        <v>0</v>
      </c>
      <c r="CQ1" s="1">
        <f>Master!CS1</f>
        <v>0</v>
      </c>
      <c r="CR1" s="1">
        <f>Master!CT1</f>
        <v>0</v>
      </c>
      <c r="CS1" s="1">
        <f>Master!CU1</f>
        <v>0</v>
      </c>
      <c r="CT1" s="1">
        <f>Master!CV1</f>
        <v>0</v>
      </c>
      <c r="CU1" s="1">
        <f>Master!CW1</f>
        <v>0</v>
      </c>
      <c r="CV1" s="1">
        <f>Master!CX1</f>
        <v>0</v>
      </c>
      <c r="CW1" s="1">
        <f>Master!CY1</f>
        <v>0</v>
      </c>
      <c r="CX1" s="1">
        <f>Master!CZ1</f>
        <v>0</v>
      </c>
      <c r="CY1" s="1">
        <f>Master!DA1</f>
        <v>0</v>
      </c>
      <c r="CZ1" s="1">
        <f>Master!DB1</f>
        <v>0</v>
      </c>
      <c r="DA1" s="1">
        <f>Master!DC1</f>
        <v>0</v>
      </c>
      <c r="DB1" s="1">
        <f>Master!DD1</f>
        <v>0</v>
      </c>
      <c r="DC1" s="1">
        <f>Master!DE1</f>
        <v>0</v>
      </c>
      <c r="DD1" s="1">
        <f>Master!DF1</f>
        <v>0</v>
      </c>
      <c r="DE1" s="1">
        <f>Master!DG1</f>
        <v>0</v>
      </c>
      <c r="DF1" s="1">
        <f>Master!DH1</f>
        <v>0</v>
      </c>
      <c r="DG1" s="1">
        <f>Master!DI1</f>
        <v>0</v>
      </c>
      <c r="DH1" s="1">
        <f>Master!DJ1</f>
        <v>0</v>
      </c>
      <c r="DI1" s="1">
        <f>Master!DK1</f>
        <v>0</v>
      </c>
      <c r="DJ1" s="1">
        <f>Master!DL1</f>
        <v>0</v>
      </c>
      <c r="DK1" s="1">
        <f>Master!DM1</f>
        <v>0</v>
      </c>
      <c r="DL1" s="1">
        <f>Master!DN1</f>
        <v>0</v>
      </c>
      <c r="DM1" s="1">
        <f>Master!DO1</f>
        <v>0</v>
      </c>
      <c r="DN1" s="1">
        <f>Master!DP1</f>
        <v>0</v>
      </c>
      <c r="DO1" s="1">
        <f>Master!DQ1</f>
        <v>0</v>
      </c>
      <c r="DP1" s="1">
        <f>Master!DR1</f>
        <v>0</v>
      </c>
    </row>
    <row r="2" spans="1:120" s="1" customFormat="1">
      <c r="A2" s="1" t="s">
        <v>28</v>
      </c>
      <c r="B2" s="1" t="s">
        <v>30</v>
      </c>
      <c r="C2" s="1">
        <f>Master!E2</f>
        <v>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  <c r="CE2" s="1" t="str">
        <f>Master!CG2</f>
        <v>Enhance Existing Hours</v>
      </c>
    </row>
    <row r="3" spans="1:120">
      <c r="A3" t="str">
        <f>Master!A3</f>
        <v>Sr. Dev</v>
      </c>
      <c r="B3" t="str">
        <f>Master!C3</f>
        <v>Steven McKee</v>
      </c>
      <c r="G3">
        <v>120</v>
      </c>
    </row>
    <row r="4" spans="1:120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120">
      <c r="A5" t="str">
        <f>Master!A5</f>
        <v>Sr. Dev</v>
      </c>
      <c r="B5" t="str">
        <f>Master!C5</f>
        <v xml:space="preserve">Tony </v>
      </c>
      <c r="G5">
        <v>120</v>
      </c>
    </row>
    <row r="6" spans="1:120">
      <c r="A6" t="str">
        <f>Master!A6</f>
        <v>Dev</v>
      </c>
      <c r="B6" t="str">
        <f>Master!C6</f>
        <v>Lalitha</v>
      </c>
      <c r="R6">
        <v>5</v>
      </c>
      <c r="AD6">
        <v>6</v>
      </c>
      <c r="BQ6">
        <v>3</v>
      </c>
      <c r="BW6">
        <v>76</v>
      </c>
      <c r="BZ6">
        <v>24</v>
      </c>
    </row>
    <row r="7" spans="1:120">
      <c r="A7" t="str">
        <f>Master!A7</f>
        <v>Sr. Dev</v>
      </c>
      <c r="B7" t="str">
        <f>Master!C7</f>
        <v>Greg Marcum</v>
      </c>
      <c r="I7">
        <v>20</v>
      </c>
      <c r="R7">
        <v>2</v>
      </c>
      <c r="AG7">
        <v>8</v>
      </c>
      <c r="AV7">
        <v>20</v>
      </c>
      <c r="BE7">
        <v>2</v>
      </c>
      <c r="BW7">
        <v>49</v>
      </c>
      <c r="BZ7">
        <v>13</v>
      </c>
    </row>
    <row r="8" spans="1:120">
      <c r="A8" t="str">
        <f>Master!A8</f>
        <v>Dev</v>
      </c>
      <c r="B8" t="str">
        <f>Master!C8</f>
        <v>Simrath</v>
      </c>
      <c r="AD8">
        <v>3</v>
      </c>
      <c r="AP8">
        <v>12</v>
      </c>
      <c r="BQ8">
        <v>2</v>
      </c>
      <c r="BW8">
        <v>92</v>
      </c>
      <c r="BZ8">
        <v>2</v>
      </c>
      <c r="CC8">
        <v>3</v>
      </c>
    </row>
    <row r="9" spans="1:120">
      <c r="A9" t="str">
        <f>Master!A9</f>
        <v>Dev</v>
      </c>
      <c r="B9" t="str">
        <f>Master!C9</f>
        <v>Sriram</v>
      </c>
      <c r="AP9">
        <v>19</v>
      </c>
      <c r="AS9">
        <v>49</v>
      </c>
      <c r="BF9">
        <v>16</v>
      </c>
      <c r="BW9">
        <v>30</v>
      </c>
    </row>
    <row r="10" spans="1:120">
      <c r="A10" t="str">
        <f>Master!A10</f>
        <v>Dev</v>
      </c>
      <c r="B10" t="str">
        <f>Master!C10</f>
        <v>Justin Meshew</v>
      </c>
      <c r="N10">
        <v>4</v>
      </c>
      <c r="R10">
        <v>10</v>
      </c>
      <c r="AD10">
        <v>7</v>
      </c>
      <c r="BW10">
        <v>6</v>
      </c>
      <c r="BZ10">
        <v>74</v>
      </c>
      <c r="CC10">
        <v>13</v>
      </c>
    </row>
    <row r="11" spans="1:120">
      <c r="A11" t="str">
        <f>Master!A11</f>
        <v>Sr. Dev</v>
      </c>
      <c r="B11" t="str">
        <f>Master!C11</f>
        <v>Ryan Dailey</v>
      </c>
      <c r="BW11">
        <v>126</v>
      </c>
    </row>
    <row r="12" spans="1:120">
      <c r="A12" t="str">
        <f>Master!A12</f>
        <v>Dev</v>
      </c>
      <c r="B12" t="str">
        <f>Master!C12</f>
        <v>Dean Bowles</v>
      </c>
      <c r="AP12">
        <v>21</v>
      </c>
      <c r="AS12">
        <v>22</v>
      </c>
      <c r="BF12">
        <v>64</v>
      </c>
      <c r="BW12">
        <v>7</v>
      </c>
    </row>
    <row r="13" spans="1:120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120">
      <c r="A14" t="str">
        <f>Master!A14</f>
        <v>Sr. Dev</v>
      </c>
      <c r="B14" t="str">
        <f>Master!C14</f>
        <v>Mark</v>
      </c>
      <c r="D14">
        <v>120</v>
      </c>
    </row>
    <row r="15" spans="1:120">
      <c r="A15" t="str">
        <f>Master!A15</f>
        <v>Dev</v>
      </c>
      <c r="B15" t="str">
        <f>Master!C15</f>
        <v>Kasey Goodwin</v>
      </c>
    </row>
    <row r="16" spans="1:120">
      <c r="A16" t="str">
        <f>Master!A16</f>
        <v>Sr. Dev</v>
      </c>
      <c r="B16" t="str">
        <f>Master!C16</f>
        <v>Greg Brethen</v>
      </c>
    </row>
    <row r="17" spans="1:75">
      <c r="A17" t="str">
        <f>Master!A17</f>
        <v xml:space="preserve">QA </v>
      </c>
      <c r="B17" t="str">
        <f>Master!C17</f>
        <v>Jackie Zweck</v>
      </c>
      <c r="G17">
        <v>100</v>
      </c>
      <c r="BW17">
        <v>20</v>
      </c>
    </row>
    <row r="18" spans="1:75">
      <c r="A18" t="str">
        <f>Master!A18</f>
        <v>Dev</v>
      </c>
      <c r="B18" t="str">
        <f>Master!C18</f>
        <v>Thanuja Bachala</v>
      </c>
      <c r="G18">
        <v>100</v>
      </c>
      <c r="BW18">
        <v>20</v>
      </c>
    </row>
    <row r="19" spans="1:75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75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AD20">
        <v>5</v>
      </c>
      <c r="AJ20">
        <v>5</v>
      </c>
      <c r="BW20">
        <v>20</v>
      </c>
    </row>
    <row r="21" spans="1:75">
      <c r="A21" t="str">
        <f>Master!A21</f>
        <v>Product</v>
      </c>
      <c r="B21" t="str">
        <f>Master!C21</f>
        <v>Eunice Jallah</v>
      </c>
      <c r="BG21">
        <v>30</v>
      </c>
      <c r="BW21">
        <v>90</v>
      </c>
    </row>
    <row r="22" spans="1:75">
      <c r="A22" t="str">
        <f>Master!A22</f>
        <v>Product</v>
      </c>
      <c r="B22" t="str">
        <f>Master!C22</f>
        <v>Meera Mehta</v>
      </c>
      <c r="T22">
        <v>60</v>
      </c>
      <c r="BW22">
        <v>60</v>
      </c>
    </row>
    <row r="23" spans="1:75">
      <c r="A23" t="str">
        <f>Master!A23</f>
        <v>Product</v>
      </c>
      <c r="B23" t="str">
        <f>Master!C23</f>
        <v>Rojina Thapa</v>
      </c>
      <c r="L23">
        <v>0</v>
      </c>
      <c r="AG23">
        <v>40</v>
      </c>
      <c r="AS23">
        <v>10</v>
      </c>
      <c r="BE23">
        <v>10</v>
      </c>
      <c r="BW23">
        <v>60</v>
      </c>
    </row>
    <row r="24" spans="1:75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5">
      <c r="A25" t="str">
        <f>Master!A25</f>
        <v>Product</v>
      </c>
      <c r="B25" t="str">
        <f>Master!C25</f>
        <v>Catherine Horton</v>
      </c>
      <c r="AM25">
        <v>120</v>
      </c>
    </row>
    <row r="26" spans="1:75">
      <c r="A26" t="str">
        <f>Master!A26</f>
        <v xml:space="preserve">Product </v>
      </c>
      <c r="B26" t="str">
        <f>Master!C26</f>
        <v>Latha Ramasamy</v>
      </c>
      <c r="G26">
        <v>120</v>
      </c>
    </row>
    <row r="27" spans="1:75">
      <c r="A27" t="str">
        <f>Master!A27</f>
        <v>Sr. Dev</v>
      </c>
      <c r="B27" t="str">
        <f>Master!C27</f>
        <v>Claire Smith-Edwards</v>
      </c>
      <c r="D27">
        <v>120</v>
      </c>
    </row>
    <row r="28" spans="1:75">
      <c r="A28" t="str">
        <f>Master!A28</f>
        <v>Dev</v>
      </c>
      <c r="B28" t="str">
        <f>Master!C28</f>
        <v>Vinay Sunkyredi</v>
      </c>
      <c r="D28">
        <v>60</v>
      </c>
      <c r="AA28">
        <v>60</v>
      </c>
    </row>
    <row r="29" spans="1:75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5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  <row r="31" spans="1:75">
      <c r="B31">
        <f>Master!C31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F440-B086-4C1F-AE96-DB063F00CF3B}">
  <dimension ref="A1:DP31"/>
  <sheetViews>
    <sheetView workbookViewId="0">
      <pane xSplit="2" topLeftCell="AY1" activePane="topRight" state="frozen"/>
      <selection pane="topRight" activeCell="BN27" sqref="BN27"/>
    </sheetView>
  </sheetViews>
  <sheetFormatPr defaultColWidth="11" defaultRowHeight="15.95"/>
  <cols>
    <col min="1" max="1" width="7.5" bestFit="1" customWidth="1"/>
    <col min="2" max="2" width="18.8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120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  <c r="CE1" s="1" t="str">
        <f>Master!CG1</f>
        <v>Totals</v>
      </c>
      <c r="CF1" s="1" t="str">
        <f>Master!CH1</f>
        <v>Totals</v>
      </c>
      <c r="CG1" s="1">
        <f>Master!CI1</f>
        <v>0</v>
      </c>
      <c r="CH1" s="1">
        <f>Master!CJ1</f>
        <v>0</v>
      </c>
      <c r="CI1" s="1">
        <f>Master!CK1</f>
        <v>0</v>
      </c>
      <c r="CJ1" s="1">
        <f>Master!CL1</f>
        <v>0</v>
      </c>
      <c r="CK1" s="1">
        <f>Master!CM1</f>
        <v>0</v>
      </c>
      <c r="CL1" s="1">
        <f>Master!CN1</f>
        <v>0</v>
      </c>
      <c r="CM1" s="1">
        <f>Master!CO1</f>
        <v>0</v>
      </c>
      <c r="CN1" s="1">
        <f>Master!CP1</f>
        <v>0</v>
      </c>
      <c r="CO1" s="1">
        <f>Master!CQ1</f>
        <v>0</v>
      </c>
      <c r="CP1" s="1">
        <f>Master!CR1</f>
        <v>0</v>
      </c>
      <c r="CQ1" s="1">
        <f>Master!CS1</f>
        <v>0</v>
      </c>
      <c r="CR1" s="1">
        <f>Master!CT1</f>
        <v>0</v>
      </c>
      <c r="CS1" s="1">
        <f>Master!CU1</f>
        <v>0</v>
      </c>
      <c r="CT1" s="1">
        <f>Master!CV1</f>
        <v>0</v>
      </c>
      <c r="CU1" s="1">
        <f>Master!CW1</f>
        <v>0</v>
      </c>
      <c r="CV1" s="1">
        <f>Master!CX1</f>
        <v>0</v>
      </c>
      <c r="CW1" s="1">
        <f>Master!CY1</f>
        <v>0</v>
      </c>
      <c r="CX1" s="1">
        <f>Master!CZ1</f>
        <v>0</v>
      </c>
      <c r="CY1" s="1">
        <f>Master!DA1</f>
        <v>0</v>
      </c>
      <c r="CZ1" s="1">
        <f>Master!DB1</f>
        <v>0</v>
      </c>
      <c r="DA1" s="1">
        <f>Master!DC1</f>
        <v>0</v>
      </c>
      <c r="DB1" s="1">
        <f>Master!DD1</f>
        <v>0</v>
      </c>
      <c r="DC1" s="1">
        <f>Master!DE1</f>
        <v>0</v>
      </c>
      <c r="DD1" s="1">
        <f>Master!DF1</f>
        <v>0</v>
      </c>
      <c r="DE1" s="1">
        <f>Master!DG1</f>
        <v>0</v>
      </c>
      <c r="DF1" s="1">
        <f>Master!DH1</f>
        <v>0</v>
      </c>
      <c r="DG1" s="1">
        <f>Master!DI1</f>
        <v>0</v>
      </c>
      <c r="DH1" s="1">
        <f>Master!DJ1</f>
        <v>0</v>
      </c>
      <c r="DI1" s="1">
        <f>Master!DK1</f>
        <v>0</v>
      </c>
      <c r="DJ1" s="1">
        <f>Master!DL1</f>
        <v>0</v>
      </c>
      <c r="DK1" s="1">
        <f>Master!DM1</f>
        <v>0</v>
      </c>
      <c r="DL1" s="1">
        <f>Master!DN1</f>
        <v>0</v>
      </c>
      <c r="DM1" s="1">
        <f>Master!DO1</f>
        <v>0</v>
      </c>
      <c r="DN1" s="1">
        <f>Master!DP1</f>
        <v>0</v>
      </c>
      <c r="DO1" s="1">
        <f>Master!DQ1</f>
        <v>0</v>
      </c>
      <c r="DP1" s="1">
        <f>Master!DR1</f>
        <v>0</v>
      </c>
    </row>
    <row r="2" spans="1:120" s="1" customFormat="1">
      <c r="A2" s="1" t="s">
        <v>28</v>
      </c>
      <c r="B2" s="1" t="s">
        <v>30</v>
      </c>
      <c r="C2" s="1">
        <f>Master!E2</f>
        <v>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120">
      <c r="A3" t="str">
        <f>Master!A3</f>
        <v>Sr. Dev</v>
      </c>
      <c r="B3" t="str">
        <f>Master!C3</f>
        <v>Steven McKee</v>
      </c>
      <c r="G3">
        <v>120</v>
      </c>
    </row>
    <row r="4" spans="1:120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120">
      <c r="A5" t="str">
        <f>Master!A5</f>
        <v>Sr. Dev</v>
      </c>
      <c r="B5" t="str">
        <f>Master!C5</f>
        <v xml:space="preserve">Tony </v>
      </c>
      <c r="G5">
        <v>120</v>
      </c>
    </row>
    <row r="6" spans="1:120">
      <c r="A6" t="str">
        <f>Master!A6</f>
        <v>Dev</v>
      </c>
      <c r="B6" t="str">
        <f>Master!C6</f>
        <v>Lalitha</v>
      </c>
      <c r="R6">
        <v>6</v>
      </c>
      <c r="AD6">
        <v>3</v>
      </c>
      <c r="BW6">
        <v>68</v>
      </c>
      <c r="BZ6">
        <v>37</v>
      </c>
    </row>
    <row r="7" spans="1:120">
      <c r="A7" t="str">
        <f>Master!A7</f>
        <v>Sr. Dev</v>
      </c>
      <c r="B7" t="str">
        <f>Master!C7</f>
        <v>Greg Marcum</v>
      </c>
      <c r="I7">
        <v>7</v>
      </c>
      <c r="R7">
        <v>5</v>
      </c>
      <c r="AG7">
        <v>3</v>
      </c>
      <c r="AV7">
        <v>12</v>
      </c>
      <c r="BW7">
        <v>68</v>
      </c>
      <c r="BZ7">
        <v>19</v>
      </c>
    </row>
    <row r="8" spans="1:120">
      <c r="A8" t="str">
        <f>Master!A8</f>
        <v>Dev</v>
      </c>
      <c r="B8" t="str">
        <f>Master!C8</f>
        <v>Simrath</v>
      </c>
      <c r="AP8">
        <v>6</v>
      </c>
      <c r="BQ8">
        <v>3</v>
      </c>
      <c r="BW8">
        <v>99</v>
      </c>
      <c r="BZ8">
        <v>4</v>
      </c>
      <c r="CC8">
        <v>2</v>
      </c>
    </row>
    <row r="9" spans="1:120">
      <c r="A9" t="str">
        <f>Master!A9</f>
        <v>Dev</v>
      </c>
      <c r="B9" t="str">
        <f>Master!C9</f>
        <v>Sriram</v>
      </c>
      <c r="AP9">
        <v>16</v>
      </c>
      <c r="AS9">
        <v>46</v>
      </c>
      <c r="BF9">
        <v>23</v>
      </c>
      <c r="BW9">
        <v>20</v>
      </c>
    </row>
    <row r="10" spans="1:120">
      <c r="A10" t="str">
        <f>Master!A10</f>
        <v>Dev</v>
      </c>
      <c r="B10" t="str">
        <f>Master!C10</f>
        <v>Justin Meshew</v>
      </c>
      <c r="N10">
        <v>7</v>
      </c>
      <c r="R10">
        <v>4</v>
      </c>
      <c r="AD10">
        <v>5</v>
      </c>
      <c r="BW10">
        <v>22</v>
      </c>
      <c r="BZ10">
        <v>76</v>
      </c>
    </row>
    <row r="11" spans="1:120">
      <c r="A11" t="str">
        <f>Master!A11</f>
        <v>Sr. Dev</v>
      </c>
      <c r="B11" t="str">
        <f>Master!C11</f>
        <v>Ryan Dailey</v>
      </c>
      <c r="BW11">
        <v>111</v>
      </c>
      <c r="BZ11">
        <v>3</v>
      </c>
    </row>
    <row r="12" spans="1:120">
      <c r="A12" t="str">
        <f>Master!A12</f>
        <v>Dev</v>
      </c>
      <c r="B12" t="str">
        <f>Master!C12</f>
        <v>Dean Bowles</v>
      </c>
      <c r="AP12">
        <v>17</v>
      </c>
      <c r="AS12">
        <v>27</v>
      </c>
      <c r="BF12">
        <v>58</v>
      </c>
      <c r="BW12">
        <v>12</v>
      </c>
    </row>
    <row r="13" spans="1:120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120">
      <c r="A14" t="str">
        <f>Master!A14</f>
        <v>Sr. Dev</v>
      </c>
      <c r="B14" t="str">
        <f>Master!C14</f>
        <v>Mark</v>
      </c>
      <c r="D14">
        <v>120</v>
      </c>
    </row>
    <row r="15" spans="1:120">
      <c r="A15" t="str">
        <f>Master!A15</f>
        <v>Dev</v>
      </c>
      <c r="B15" t="str">
        <f>Master!C15</f>
        <v>Kasey Goodwin</v>
      </c>
    </row>
    <row r="16" spans="1:120">
      <c r="A16" t="str">
        <f>Master!A16</f>
        <v>Sr. Dev</v>
      </c>
      <c r="B16" t="str">
        <f>Master!C16</f>
        <v>Greg Brethen</v>
      </c>
    </row>
    <row r="17" spans="1:76">
      <c r="A17" t="str">
        <f>Master!A17</f>
        <v xml:space="preserve">QA </v>
      </c>
      <c r="B17" t="str">
        <f>Master!C17</f>
        <v>Jackie Zweck</v>
      </c>
      <c r="G17">
        <v>100</v>
      </c>
      <c r="BW17">
        <v>20</v>
      </c>
    </row>
    <row r="18" spans="1:76">
      <c r="A18" t="str">
        <f>Master!A18</f>
        <v>Dev</v>
      </c>
      <c r="B18" t="str">
        <f>Master!C18</f>
        <v>Thanuja Bachala</v>
      </c>
      <c r="G18">
        <v>100</v>
      </c>
      <c r="BW18">
        <v>20</v>
      </c>
    </row>
    <row r="19" spans="1:76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76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AD20">
        <v>5</v>
      </c>
      <c r="AJ20">
        <v>5</v>
      </c>
      <c r="BW20">
        <v>10</v>
      </c>
    </row>
    <row r="21" spans="1:76">
      <c r="A21" t="str">
        <f>Master!A21</f>
        <v>Product</v>
      </c>
      <c r="B21" t="str">
        <f>Master!C21</f>
        <v>Eunice Jallah</v>
      </c>
      <c r="BG21">
        <v>30</v>
      </c>
    </row>
    <row r="22" spans="1:76">
      <c r="A22" t="str">
        <f>Master!A22</f>
        <v>Product</v>
      </c>
      <c r="B22" t="str">
        <f>Master!C22</f>
        <v>Meera Mehta</v>
      </c>
      <c r="T22">
        <v>60</v>
      </c>
      <c r="BW22">
        <v>60</v>
      </c>
    </row>
    <row r="23" spans="1:76">
      <c r="A23" t="str">
        <f>Master!A23</f>
        <v>Product</v>
      </c>
      <c r="B23" t="str">
        <f>Master!C23</f>
        <v>Rojina Thapa</v>
      </c>
      <c r="L23">
        <v>0</v>
      </c>
      <c r="AG23">
        <v>40</v>
      </c>
      <c r="AS23">
        <v>10</v>
      </c>
      <c r="BE23">
        <v>10</v>
      </c>
      <c r="BW23">
        <v>30</v>
      </c>
      <c r="BX23">
        <v>30</v>
      </c>
    </row>
    <row r="24" spans="1:76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6">
      <c r="A25" t="str">
        <f>Master!A25</f>
        <v>Product</v>
      </c>
      <c r="B25" t="str">
        <f>Master!C25</f>
        <v>Catherine Horton</v>
      </c>
      <c r="AM25">
        <v>120</v>
      </c>
    </row>
    <row r="26" spans="1:76">
      <c r="A26" t="str">
        <f>Master!A26</f>
        <v xml:space="preserve">Product </v>
      </c>
      <c r="B26" t="str">
        <f>Master!C26</f>
        <v>Latha Ramasamy</v>
      </c>
      <c r="G26">
        <v>100</v>
      </c>
      <c r="BN26">
        <v>20</v>
      </c>
    </row>
    <row r="27" spans="1:76">
      <c r="A27" t="str">
        <f>Master!A27</f>
        <v>Sr. Dev</v>
      </c>
      <c r="B27" t="str">
        <f>Master!C27</f>
        <v>Claire Smith-Edwards</v>
      </c>
      <c r="D27">
        <v>120</v>
      </c>
    </row>
    <row r="28" spans="1:76">
      <c r="A28" t="str">
        <f>Master!A28</f>
        <v>Dev</v>
      </c>
      <c r="B28" t="str">
        <f>Master!C28</f>
        <v>Vinay Sunkyredi</v>
      </c>
      <c r="D28">
        <v>60</v>
      </c>
      <c r="Z28">
        <v>60</v>
      </c>
    </row>
    <row r="29" spans="1:76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6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  <row r="31" spans="1:76">
      <c r="B31">
        <f>Master!C31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DB2B-ED17-B941-AAEB-861D5BF9940D}">
  <dimension ref="A1:CF30"/>
  <sheetViews>
    <sheetView workbookViewId="0">
      <pane xSplit="2" topLeftCell="C1" activePane="topRight" state="frozen"/>
      <selection pane="topRight" activeCell="C30" sqref="C30:BW30"/>
    </sheetView>
  </sheetViews>
  <sheetFormatPr defaultColWidth="11" defaultRowHeight="15.95"/>
  <cols>
    <col min="2" max="2" width="15.375" bestFit="1" customWidth="1"/>
    <col min="6" max="6" width="11.875" bestFit="1" customWidth="1"/>
    <col min="9" max="9" width="11.875" bestFit="1" customWidth="1"/>
  </cols>
  <sheetData>
    <row r="1" spans="1:84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  <c r="CE1" s="1" t="str">
        <f>Master!CG1</f>
        <v>Totals</v>
      </c>
      <c r="CF1" s="1" t="str">
        <f>Master!CH1</f>
        <v>Totals</v>
      </c>
    </row>
    <row r="2" spans="1:84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84">
      <c r="A3" t="str">
        <f>Master!A3</f>
        <v>Sr. Dev</v>
      </c>
      <c r="B3" t="str">
        <f>Master!C3</f>
        <v>Steven McKee</v>
      </c>
      <c r="G3">
        <v>120</v>
      </c>
    </row>
    <row r="4" spans="1:84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84">
      <c r="A5" t="str">
        <f>Master!A5</f>
        <v>Sr. Dev</v>
      </c>
      <c r="B5" t="str">
        <f>Master!C5</f>
        <v xml:space="preserve">Tony </v>
      </c>
      <c r="G5">
        <v>120</v>
      </c>
    </row>
    <row r="6" spans="1:84">
      <c r="A6" t="str">
        <f>Master!A6</f>
        <v>Dev</v>
      </c>
      <c r="B6" t="str">
        <f>Master!C6</f>
        <v>Lalitha</v>
      </c>
      <c r="R6">
        <v>4</v>
      </c>
      <c r="AD6">
        <v>2</v>
      </c>
      <c r="BW6">
        <v>59</v>
      </c>
      <c r="BZ6">
        <v>49</v>
      </c>
    </row>
    <row r="7" spans="1:84">
      <c r="A7" t="str">
        <f>Master!A7</f>
        <v>Sr. Dev</v>
      </c>
      <c r="B7" t="str">
        <f>Master!C7</f>
        <v>Greg Marcum</v>
      </c>
      <c r="R7">
        <v>4</v>
      </c>
      <c r="AV7">
        <v>5</v>
      </c>
      <c r="BE7">
        <v>2</v>
      </c>
      <c r="BW7">
        <v>70</v>
      </c>
      <c r="BZ7">
        <v>33</v>
      </c>
    </row>
    <row r="8" spans="1:84">
      <c r="A8" t="str">
        <f>Master!A8</f>
        <v>Dev</v>
      </c>
      <c r="B8" t="str">
        <f>Master!C8</f>
        <v>Simrath</v>
      </c>
      <c r="AP8">
        <v>2</v>
      </c>
      <c r="BQ8">
        <v>7</v>
      </c>
      <c r="BW8">
        <v>96</v>
      </c>
      <c r="BZ8">
        <v>9</v>
      </c>
    </row>
    <row r="9" spans="1:84">
      <c r="A9" t="str">
        <f>Master!A9</f>
        <v>Dev</v>
      </c>
      <c r="B9" t="str">
        <f>Master!C9</f>
        <v>Sriram</v>
      </c>
      <c r="AP9">
        <v>15</v>
      </c>
      <c r="AS9">
        <f>17+38</f>
        <v>55</v>
      </c>
      <c r="BF9">
        <v>30</v>
      </c>
      <c r="BW9">
        <v>14</v>
      </c>
    </row>
    <row r="10" spans="1:84">
      <c r="A10" t="str">
        <f>Master!A10</f>
        <v>Dev</v>
      </c>
      <c r="B10" t="str">
        <f>Master!C10</f>
        <v>Justin Meshew</v>
      </c>
      <c r="N10">
        <v>6</v>
      </c>
      <c r="R10">
        <v>4</v>
      </c>
      <c r="BW10">
        <v>78</v>
      </c>
      <c r="BZ10">
        <v>26</v>
      </c>
    </row>
    <row r="11" spans="1:84">
      <c r="A11" t="str">
        <f>Master!A11</f>
        <v>Sr. Dev</v>
      </c>
      <c r="B11" t="str">
        <f>Master!C11</f>
        <v>Ryan Dailey</v>
      </c>
      <c r="BQ11">
        <v>3</v>
      </c>
      <c r="BW11">
        <v>103</v>
      </c>
      <c r="BZ11">
        <v>8</v>
      </c>
    </row>
    <row r="12" spans="1:84">
      <c r="A12" t="str">
        <f>Master!A12</f>
        <v>Dev</v>
      </c>
      <c r="B12" t="str">
        <f>Master!C12</f>
        <v>Dean Bowles</v>
      </c>
      <c r="AP12">
        <v>9</v>
      </c>
      <c r="AS12">
        <v>25</v>
      </c>
      <c r="BF12">
        <v>62</v>
      </c>
      <c r="BW12">
        <v>18</v>
      </c>
    </row>
    <row r="13" spans="1:84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4">
      <c r="A14" t="str">
        <f>Master!A14</f>
        <v>Sr. Dev</v>
      </c>
      <c r="B14" t="str">
        <f>Master!C14</f>
        <v>Mark</v>
      </c>
      <c r="D14">
        <v>120</v>
      </c>
    </row>
    <row r="15" spans="1:84">
      <c r="A15" t="str">
        <f>Master!A15</f>
        <v>Dev</v>
      </c>
      <c r="B15" t="str">
        <f>Master!C15</f>
        <v>Kasey Goodwin</v>
      </c>
    </row>
    <row r="16" spans="1:84">
      <c r="A16" t="str">
        <f>Master!A16</f>
        <v>Sr. Dev</v>
      </c>
      <c r="B16" t="str">
        <f>Master!C16</f>
        <v>Greg Brethen</v>
      </c>
      <c r="F16">
        <v>120</v>
      </c>
    </row>
    <row r="17" spans="1:76">
      <c r="A17" t="str">
        <f>Master!A17</f>
        <v xml:space="preserve">QA </v>
      </c>
      <c r="B17" t="str">
        <f>Master!C17</f>
        <v>Jackie Zweck</v>
      </c>
      <c r="G17">
        <v>100</v>
      </c>
      <c r="BW17">
        <v>20</v>
      </c>
    </row>
    <row r="18" spans="1:76">
      <c r="A18" t="str">
        <f>Master!A18</f>
        <v>Dev</v>
      </c>
      <c r="B18" t="str">
        <f>Master!C18</f>
        <v>Thanuja Bachala</v>
      </c>
      <c r="G18">
        <v>100</v>
      </c>
      <c r="BW18">
        <v>20</v>
      </c>
    </row>
    <row r="19" spans="1:76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76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AD20">
        <v>5</v>
      </c>
      <c r="AJ20">
        <v>5</v>
      </c>
      <c r="BW20">
        <v>10</v>
      </c>
    </row>
    <row r="21" spans="1:76">
      <c r="A21" t="str">
        <f>Master!A21</f>
        <v>Product</v>
      </c>
      <c r="B21" t="str">
        <f>Master!C21</f>
        <v>Eunice Jallah</v>
      </c>
      <c r="BG21">
        <v>45</v>
      </c>
      <c r="BW21">
        <v>65</v>
      </c>
    </row>
    <row r="22" spans="1:76">
      <c r="A22" t="str">
        <f>Master!A22</f>
        <v>Product</v>
      </c>
      <c r="B22" t="str">
        <f>Master!C22</f>
        <v>Meera Mehta</v>
      </c>
      <c r="T22">
        <v>60</v>
      </c>
      <c r="BW22">
        <v>60</v>
      </c>
    </row>
    <row r="23" spans="1:76">
      <c r="A23" t="str">
        <f>Master!A23</f>
        <v>Product</v>
      </c>
      <c r="B23" t="str">
        <f>Master!C23</f>
        <v>Rojina Thapa</v>
      </c>
      <c r="L23">
        <v>0</v>
      </c>
      <c r="AG23">
        <v>40</v>
      </c>
      <c r="AS23">
        <v>10</v>
      </c>
      <c r="BE23">
        <v>10</v>
      </c>
      <c r="BW23">
        <v>30</v>
      </c>
      <c r="BX23">
        <v>30</v>
      </c>
    </row>
    <row r="24" spans="1:76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6">
      <c r="A25" t="str">
        <f>Master!A25</f>
        <v>Product</v>
      </c>
      <c r="B25" t="str">
        <f>Master!C25</f>
        <v>Catherine Horton</v>
      </c>
      <c r="AM25">
        <v>120</v>
      </c>
    </row>
    <row r="26" spans="1:76">
      <c r="A26" t="str">
        <f>Master!A26</f>
        <v xml:space="preserve">Product </v>
      </c>
      <c r="B26" t="str">
        <f>Master!C26</f>
        <v>Latha Ramasamy</v>
      </c>
      <c r="G26">
        <v>120</v>
      </c>
    </row>
    <row r="27" spans="1:76">
      <c r="A27" t="str">
        <f>Master!A27</f>
        <v>Sr. Dev</v>
      </c>
      <c r="B27" t="str">
        <f>Master!C27</f>
        <v>Claire Smith-Edwards</v>
      </c>
      <c r="D27">
        <v>120</v>
      </c>
    </row>
    <row r="28" spans="1:76">
      <c r="A28" t="str">
        <f>Master!A28</f>
        <v>Dev</v>
      </c>
      <c r="B28" t="str">
        <f>Master!C28</f>
        <v>Vinay Sunkyredi</v>
      </c>
      <c r="D28">
        <v>60</v>
      </c>
      <c r="AA28">
        <v>60</v>
      </c>
    </row>
    <row r="29" spans="1:76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6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3CDB-407E-4FF4-ABEB-F14AA9AB5334}">
  <dimension ref="A1:CE31"/>
  <sheetViews>
    <sheetView workbookViewId="0">
      <pane xSplit="2" topLeftCell="C1" activePane="topRight" state="frozen"/>
      <selection pane="topRight" activeCell="C30" sqref="C30:BW30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83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</row>
    <row r="2" spans="1:83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  <c r="CE2" s="1" t="str">
        <f>Master!CG2</f>
        <v>Enhance Existing Hours</v>
      </c>
    </row>
    <row r="3" spans="1:83">
      <c r="A3" t="str">
        <f>Master!A3</f>
        <v>Sr. Dev</v>
      </c>
      <c r="B3" t="str">
        <f>Master!C3</f>
        <v>Steven McKee</v>
      </c>
      <c r="G3">
        <v>120</v>
      </c>
    </row>
    <row r="4" spans="1:83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83">
      <c r="A5" t="str">
        <f>Master!A5</f>
        <v>Sr. Dev</v>
      </c>
      <c r="B5" t="str">
        <f>Master!C5</f>
        <v xml:space="preserve">Tony </v>
      </c>
      <c r="G5">
        <v>120</v>
      </c>
    </row>
    <row r="6" spans="1:83">
      <c r="A6" t="str">
        <f>Master!A6</f>
        <v>Dev</v>
      </c>
      <c r="B6" t="str">
        <f>Master!C6</f>
        <v>Lalitha</v>
      </c>
      <c r="R6">
        <v>5</v>
      </c>
      <c r="AA6">
        <v>4</v>
      </c>
      <c r="BW6">
        <v>53</v>
      </c>
      <c r="BZ6">
        <v>52</v>
      </c>
    </row>
    <row r="7" spans="1:83">
      <c r="A7" t="str">
        <f>Master!A7</f>
        <v>Sr. Dev</v>
      </c>
      <c r="B7" t="str">
        <f>Master!C7</f>
        <v>Greg Marcum</v>
      </c>
      <c r="R7">
        <v>2</v>
      </c>
      <c r="BE7">
        <v>5</v>
      </c>
      <c r="BW7">
        <v>61</v>
      </c>
      <c r="BZ7">
        <v>46</v>
      </c>
    </row>
    <row r="8" spans="1:83">
      <c r="A8" t="str">
        <f>Master!A8</f>
        <v>Dev</v>
      </c>
      <c r="B8" t="str">
        <f>Master!C8</f>
        <v>Simrath</v>
      </c>
      <c r="N8">
        <v>3</v>
      </c>
      <c r="AP8">
        <v>3</v>
      </c>
      <c r="BQ8">
        <v>9</v>
      </c>
      <c r="BW8">
        <v>91</v>
      </c>
      <c r="BZ8">
        <v>8</v>
      </c>
    </row>
    <row r="9" spans="1:83">
      <c r="A9" t="str">
        <f>Master!A9</f>
        <v>Dev</v>
      </c>
      <c r="B9" t="str">
        <f>Master!C9</f>
        <v>Sriram</v>
      </c>
      <c r="AP9">
        <v>20</v>
      </c>
      <c r="AS9">
        <v>41</v>
      </c>
      <c r="BF9">
        <v>37</v>
      </c>
      <c r="BW9">
        <v>16</v>
      </c>
    </row>
    <row r="10" spans="1:83">
      <c r="A10" t="str">
        <f>Master!A10</f>
        <v>Dev</v>
      </c>
      <c r="B10" t="str">
        <f>Master!C10</f>
        <v>Justin Meshew</v>
      </c>
      <c r="N10">
        <v>3</v>
      </c>
      <c r="R10">
        <v>8</v>
      </c>
      <c r="BW10">
        <v>99</v>
      </c>
      <c r="BZ10">
        <v>4</v>
      </c>
    </row>
    <row r="11" spans="1:83">
      <c r="A11" t="str">
        <f>Master!A11</f>
        <v>Sr. Dev</v>
      </c>
      <c r="B11" t="str">
        <f>Master!C11</f>
        <v>Ryan Dailey</v>
      </c>
      <c r="BQ11">
        <v>8</v>
      </c>
      <c r="BW11">
        <v>98</v>
      </c>
      <c r="BZ11">
        <v>8</v>
      </c>
    </row>
    <row r="12" spans="1:83">
      <c r="A12" t="str">
        <f>Master!A12</f>
        <v>Dev</v>
      </c>
      <c r="B12" t="str">
        <f>Master!C12</f>
        <v>Dean Bowles</v>
      </c>
      <c r="AP12">
        <v>5</v>
      </c>
      <c r="AS12">
        <v>19</v>
      </c>
      <c r="BF12">
        <v>75</v>
      </c>
      <c r="BW12">
        <v>15</v>
      </c>
    </row>
    <row r="13" spans="1:83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3">
      <c r="A14" t="str">
        <f>Master!A14</f>
        <v>Sr. Dev</v>
      </c>
      <c r="B14" t="str">
        <f>Master!C14</f>
        <v>Mark</v>
      </c>
      <c r="D14">
        <v>120</v>
      </c>
    </row>
    <row r="15" spans="1:83">
      <c r="A15" t="str">
        <f>Master!A15</f>
        <v>Dev</v>
      </c>
      <c r="B15" t="str">
        <f>Master!C15</f>
        <v>Kasey Goodwin</v>
      </c>
      <c r="X15">
        <v>120</v>
      </c>
    </row>
    <row r="16" spans="1:83">
      <c r="A16" t="str">
        <f>Master!A16</f>
        <v>Sr. Dev</v>
      </c>
      <c r="B16" t="str">
        <f>Master!C16</f>
        <v>Greg Brethen</v>
      </c>
      <c r="F16">
        <v>120</v>
      </c>
    </row>
    <row r="17" spans="1:76">
      <c r="A17" t="str">
        <f>Master!A17</f>
        <v xml:space="preserve">QA </v>
      </c>
      <c r="B17" t="str">
        <f>Master!C17</f>
        <v>Jackie Zweck</v>
      </c>
      <c r="G17">
        <v>100</v>
      </c>
      <c r="BW17">
        <v>20</v>
      </c>
    </row>
    <row r="18" spans="1:76">
      <c r="A18" t="str">
        <f>Master!A18</f>
        <v>Dev</v>
      </c>
      <c r="B18" t="str">
        <f>Master!C18</f>
        <v>Thanuja Bachala</v>
      </c>
      <c r="G18">
        <v>100</v>
      </c>
      <c r="BW18">
        <v>20</v>
      </c>
    </row>
    <row r="19" spans="1:76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76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AD20">
        <v>5</v>
      </c>
      <c r="AJ20">
        <v>5</v>
      </c>
      <c r="BW20">
        <v>10</v>
      </c>
    </row>
    <row r="21" spans="1:76">
      <c r="A21" t="str">
        <f>Master!A21</f>
        <v>Product</v>
      </c>
      <c r="B21" t="str">
        <f>Master!C21</f>
        <v>Eunice Jallah</v>
      </c>
      <c r="BG21">
        <v>45</v>
      </c>
      <c r="BW21">
        <v>75</v>
      </c>
    </row>
    <row r="22" spans="1:76">
      <c r="A22" t="str">
        <f>Master!A22</f>
        <v>Product</v>
      </c>
      <c r="B22" t="str">
        <f>Master!C22</f>
        <v>Meera Mehta</v>
      </c>
      <c r="T22">
        <v>60</v>
      </c>
      <c r="BW22">
        <v>60</v>
      </c>
    </row>
    <row r="23" spans="1:76">
      <c r="A23" t="str">
        <f>Master!A23</f>
        <v>Product</v>
      </c>
      <c r="B23" t="str">
        <f>Master!C23</f>
        <v>Rojina Thapa</v>
      </c>
      <c r="L23">
        <v>5</v>
      </c>
      <c r="AG23">
        <v>35</v>
      </c>
      <c r="AS23">
        <v>10</v>
      </c>
      <c r="BE23">
        <v>10</v>
      </c>
      <c r="BW23">
        <v>15</v>
      </c>
      <c r="BX23">
        <v>45</v>
      </c>
    </row>
    <row r="24" spans="1:76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6">
      <c r="A25" t="str">
        <f>Master!A25</f>
        <v>Product</v>
      </c>
      <c r="B25" t="str">
        <f>Master!C25</f>
        <v>Catherine Horton</v>
      </c>
      <c r="AM25">
        <v>120</v>
      </c>
    </row>
    <row r="26" spans="1:76">
      <c r="A26" t="str">
        <f>Master!A26</f>
        <v xml:space="preserve">Product </v>
      </c>
      <c r="B26" t="str">
        <f>Master!C26</f>
        <v>Latha Ramasamy</v>
      </c>
      <c r="G26">
        <v>120</v>
      </c>
    </row>
    <row r="27" spans="1:76">
      <c r="A27" t="str">
        <f>Master!A27</f>
        <v>Sr. Dev</v>
      </c>
      <c r="B27" t="str">
        <f>Master!C27</f>
        <v>Claire Smith-Edwards</v>
      </c>
      <c r="D27">
        <v>120</v>
      </c>
    </row>
    <row r="28" spans="1:76">
      <c r="A28" t="str">
        <f>Master!A28</f>
        <v>Dev</v>
      </c>
      <c r="B28" t="str">
        <f>Master!C28</f>
        <v>Vinay Sunkyredi</v>
      </c>
      <c r="D28">
        <v>60</v>
      </c>
      <c r="AA28">
        <v>60</v>
      </c>
    </row>
    <row r="29" spans="1:76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6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  <row r="31" spans="1:76">
      <c r="A31">
        <f>Master!A31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2805-08A8-4245-9D3C-733AF4C06705}">
  <dimension ref="A1:CD30"/>
  <sheetViews>
    <sheetView workbookViewId="0">
      <pane xSplit="2" topLeftCell="AY1" activePane="topRight" state="frozen"/>
      <selection pane="topRight" activeCell="BN27" sqref="BN27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82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</row>
    <row r="2" spans="1:82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82">
      <c r="A3" t="str">
        <f>Master!A3</f>
        <v>Sr. Dev</v>
      </c>
      <c r="B3" t="str">
        <f>Master!C3</f>
        <v>Steven McKee</v>
      </c>
      <c r="G3">
        <v>120</v>
      </c>
    </row>
    <row r="4" spans="1:82">
      <c r="A4" t="str">
        <f>Master!A4</f>
        <v>Dev</v>
      </c>
      <c r="B4" t="str">
        <f>Master!C4</f>
        <v xml:space="preserve">Pooja </v>
      </c>
      <c r="Z4">
        <v>60</v>
      </c>
      <c r="AA4">
        <v>60</v>
      </c>
    </row>
    <row r="5" spans="1:82">
      <c r="A5" t="str">
        <f>Master!A5</f>
        <v>Sr. Dev</v>
      </c>
      <c r="B5" t="str">
        <f>Master!C5</f>
        <v xml:space="preserve">Tony </v>
      </c>
      <c r="G5">
        <v>120</v>
      </c>
    </row>
    <row r="6" spans="1:82">
      <c r="A6" t="str">
        <f>Master!A6</f>
        <v>Dev</v>
      </c>
      <c r="B6" t="str">
        <f>Master!C6</f>
        <v>Lalitha</v>
      </c>
      <c r="N6">
        <v>4</v>
      </c>
      <c r="R6">
        <v>3</v>
      </c>
      <c r="AD6">
        <v>10</v>
      </c>
      <c r="BW6">
        <v>57</v>
      </c>
      <c r="BZ6">
        <v>52</v>
      </c>
    </row>
    <row r="7" spans="1:82">
      <c r="A7" t="str">
        <f>Master!A7</f>
        <v>Sr. Dev</v>
      </c>
      <c r="B7" t="str">
        <f>Master!C7</f>
        <v>Greg Marcum</v>
      </c>
      <c r="R7">
        <v>6</v>
      </c>
      <c r="BE7">
        <v>10</v>
      </c>
      <c r="BW7">
        <v>43</v>
      </c>
      <c r="BZ7">
        <v>55</v>
      </c>
    </row>
    <row r="8" spans="1:82">
      <c r="A8" t="str">
        <f>Master!A8</f>
        <v>Dev</v>
      </c>
      <c r="B8" t="str">
        <f>Master!C8</f>
        <v>Simrath</v>
      </c>
      <c r="N8">
        <v>16</v>
      </c>
      <c r="AP8">
        <v>3</v>
      </c>
      <c r="BQ8">
        <v>10</v>
      </c>
      <c r="BW8">
        <v>81</v>
      </c>
      <c r="BZ8">
        <v>4</v>
      </c>
    </row>
    <row r="9" spans="1:82">
      <c r="A9" t="str">
        <f>Master!A9</f>
        <v>Dev</v>
      </c>
      <c r="B9" t="str">
        <f>Master!C9</f>
        <v>Sriram</v>
      </c>
      <c r="AP9">
        <v>25</v>
      </c>
      <c r="AS9">
        <v>38</v>
      </c>
      <c r="BF9">
        <v>41</v>
      </c>
      <c r="BW9">
        <v>22</v>
      </c>
    </row>
    <row r="10" spans="1:82">
      <c r="A10" t="str">
        <f>Master!A10</f>
        <v>Dev</v>
      </c>
      <c r="B10" t="str">
        <f>Master!C10</f>
        <v>Justin Meshew</v>
      </c>
      <c r="N10">
        <v>15</v>
      </c>
      <c r="R10">
        <v>9</v>
      </c>
      <c r="BW10">
        <v>90</v>
      </c>
    </row>
    <row r="11" spans="1:82">
      <c r="A11" t="str">
        <f>Master!A11</f>
        <v>Sr. Dev</v>
      </c>
      <c r="B11" t="str">
        <f>Master!C11</f>
        <v>Ryan Dailey</v>
      </c>
      <c r="BQ11">
        <v>12</v>
      </c>
      <c r="BW11">
        <v>97</v>
      </c>
      <c r="BZ11">
        <v>5</v>
      </c>
    </row>
    <row r="12" spans="1:82">
      <c r="A12" t="str">
        <f>Master!A12</f>
        <v>Dev</v>
      </c>
      <c r="B12" t="str">
        <f>Master!C12</f>
        <v>Dean Bowles</v>
      </c>
      <c r="AP12">
        <v>6</v>
      </c>
      <c r="AS12">
        <v>20</v>
      </c>
      <c r="BF12">
        <v>80</v>
      </c>
      <c r="BW12">
        <v>8</v>
      </c>
    </row>
    <row r="13" spans="1:82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2">
      <c r="A14" t="str">
        <f>Master!A14</f>
        <v>Sr. Dev</v>
      </c>
      <c r="B14" t="str">
        <f>Master!C14</f>
        <v>Mark</v>
      </c>
      <c r="D14">
        <v>120</v>
      </c>
    </row>
    <row r="15" spans="1:82">
      <c r="A15" t="str">
        <f>Master!A15</f>
        <v>Dev</v>
      </c>
      <c r="B15" t="str">
        <f>Master!C15</f>
        <v>Kasey Goodwin</v>
      </c>
      <c r="X15">
        <v>120</v>
      </c>
    </row>
    <row r="16" spans="1:82">
      <c r="A16" t="str">
        <f>Master!A16</f>
        <v>Sr. Dev</v>
      </c>
      <c r="B16" t="str">
        <f>Master!C16</f>
        <v>Greg Brethen</v>
      </c>
      <c r="F16">
        <v>120</v>
      </c>
    </row>
    <row r="17" spans="1:76">
      <c r="A17" t="str">
        <f>Master!A17</f>
        <v xml:space="preserve">QA </v>
      </c>
      <c r="B17" t="str">
        <f>Master!C17</f>
        <v>Jackie Zweck</v>
      </c>
      <c r="G17">
        <v>50</v>
      </c>
      <c r="I17">
        <v>50</v>
      </c>
      <c r="BW17">
        <v>20</v>
      </c>
    </row>
    <row r="18" spans="1:76">
      <c r="A18" t="str">
        <f>Master!A18</f>
        <v>Dev</v>
      </c>
      <c r="B18" t="str">
        <f>Master!C18</f>
        <v>Thanuja Bachala</v>
      </c>
      <c r="G18">
        <v>50</v>
      </c>
      <c r="I18">
        <v>50</v>
      </c>
      <c r="BW18">
        <v>20</v>
      </c>
    </row>
    <row r="19" spans="1:76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76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AD20">
        <v>5</v>
      </c>
      <c r="AJ20">
        <v>5</v>
      </c>
      <c r="BW20">
        <v>10</v>
      </c>
    </row>
    <row r="21" spans="1:76">
      <c r="A21" t="str">
        <f>Master!A21</f>
        <v>Product</v>
      </c>
      <c r="B21" t="str">
        <f>Master!C21</f>
        <v>Eunice Jallah</v>
      </c>
      <c r="BG21">
        <v>45</v>
      </c>
      <c r="BW21">
        <v>75</v>
      </c>
    </row>
    <row r="22" spans="1:76">
      <c r="A22" t="str">
        <f>Master!A22</f>
        <v>Product</v>
      </c>
      <c r="B22" t="str">
        <f>Master!C22</f>
        <v>Meera Mehta</v>
      </c>
      <c r="D22">
        <v>50</v>
      </c>
      <c r="T22">
        <v>60</v>
      </c>
      <c r="BW22">
        <v>10</v>
      </c>
    </row>
    <row r="23" spans="1:76">
      <c r="A23" t="str">
        <f>Master!A23</f>
        <v>Product</v>
      </c>
      <c r="B23" t="str">
        <f>Master!C23</f>
        <v>Rojina Thapa</v>
      </c>
      <c r="L23">
        <v>10</v>
      </c>
      <c r="AG23">
        <v>35</v>
      </c>
      <c r="BE23">
        <v>10</v>
      </c>
      <c r="BW23">
        <v>15</v>
      </c>
      <c r="BX23">
        <v>40</v>
      </c>
    </row>
    <row r="24" spans="1:76">
      <c r="A24" t="str">
        <f>Master!A24</f>
        <v>Product</v>
      </c>
      <c r="B24" t="str">
        <f>Master!C24</f>
        <v>Pankaj Kokate</v>
      </c>
      <c r="X24">
        <v>20</v>
      </c>
      <c r="AA24">
        <v>20</v>
      </c>
      <c r="BW24">
        <v>80</v>
      </c>
    </row>
    <row r="25" spans="1:76">
      <c r="A25" t="str">
        <f>Master!A25</f>
        <v>Product</v>
      </c>
      <c r="B25" t="str">
        <f>Master!C25</f>
        <v>Catherine Horton</v>
      </c>
      <c r="AM25">
        <v>120</v>
      </c>
    </row>
    <row r="26" spans="1:76">
      <c r="A26" t="str">
        <f>Master!A26</f>
        <v xml:space="preserve">Product </v>
      </c>
      <c r="B26" t="str">
        <f>Master!C26</f>
        <v>Latha Ramasamy</v>
      </c>
      <c r="G26">
        <v>50</v>
      </c>
      <c r="I26">
        <v>60</v>
      </c>
      <c r="BN26">
        <v>10</v>
      </c>
    </row>
    <row r="27" spans="1:76">
      <c r="A27" t="str">
        <f>Master!A27</f>
        <v>Sr. Dev</v>
      </c>
      <c r="B27" t="str">
        <f>Master!C27</f>
        <v>Claire Smith-Edwards</v>
      </c>
      <c r="D27">
        <v>120</v>
      </c>
    </row>
    <row r="28" spans="1:76">
      <c r="A28" t="str">
        <f>Master!A28</f>
        <v>Dev</v>
      </c>
      <c r="B28" t="str">
        <f>Master!C28</f>
        <v>Vinay Sunkyredi</v>
      </c>
      <c r="D28">
        <v>120</v>
      </c>
    </row>
    <row r="29" spans="1:76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6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2C59-4E4E-4A49-8F19-3863151D1FD0}">
  <dimension ref="A1:CD31"/>
  <sheetViews>
    <sheetView workbookViewId="0">
      <pane xSplit="2" topLeftCell="C1" activePane="topRight" state="frozen"/>
      <selection pane="topRight" activeCell="C30" sqref="C30:BW30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82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</row>
    <row r="2" spans="1:82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82">
      <c r="A3" t="str">
        <f>Master!A3</f>
        <v>Sr. Dev</v>
      </c>
      <c r="B3" t="str">
        <f>Master!C3</f>
        <v>Steven McKee</v>
      </c>
      <c r="G3">
        <v>120</v>
      </c>
    </row>
    <row r="4" spans="1:82">
      <c r="A4" t="str">
        <f>Master!A4</f>
        <v>Dev</v>
      </c>
      <c r="B4" t="str">
        <f>Master!C4</f>
        <v xml:space="preserve">Pooja </v>
      </c>
      <c r="Z4">
        <v>28</v>
      </c>
      <c r="AA4">
        <v>28</v>
      </c>
      <c r="BV4">
        <v>28</v>
      </c>
      <c r="BW4">
        <v>36</v>
      </c>
    </row>
    <row r="5" spans="1:82">
      <c r="A5" t="str">
        <f>Master!A5</f>
        <v>Sr. Dev</v>
      </c>
      <c r="B5" t="str">
        <f>Master!C5</f>
        <v xml:space="preserve">Tony </v>
      </c>
      <c r="G5">
        <v>120</v>
      </c>
    </row>
    <row r="6" spans="1:82">
      <c r="A6" t="str">
        <f>Master!A6</f>
        <v>Dev</v>
      </c>
      <c r="B6" t="str">
        <f>Master!C6</f>
        <v>Lalitha</v>
      </c>
      <c r="N6">
        <v>9</v>
      </c>
      <c r="R6">
        <v>2</v>
      </c>
      <c r="AA6">
        <v>11</v>
      </c>
      <c r="BW6">
        <v>57</v>
      </c>
      <c r="BZ6">
        <v>36</v>
      </c>
    </row>
    <row r="7" spans="1:82">
      <c r="A7" t="str">
        <f>Master!A7</f>
        <v>Sr. Dev</v>
      </c>
      <c r="B7" t="str">
        <f>Master!C7</f>
        <v>Greg Marcum</v>
      </c>
      <c r="F7">
        <v>2</v>
      </c>
      <c r="R7">
        <v>17</v>
      </c>
      <c r="BE7">
        <v>11</v>
      </c>
      <c r="BW7">
        <v>41</v>
      </c>
      <c r="BZ7">
        <v>55</v>
      </c>
    </row>
    <row r="8" spans="1:82">
      <c r="A8" t="str">
        <f>Master!A8</f>
        <v>Dev</v>
      </c>
      <c r="B8" t="str">
        <f>Master!C8</f>
        <v>Simrath</v>
      </c>
      <c r="N8">
        <v>38</v>
      </c>
      <c r="AP8">
        <v>2</v>
      </c>
      <c r="BQ8">
        <v>5</v>
      </c>
      <c r="BW8">
        <v>67</v>
      </c>
    </row>
    <row r="9" spans="1:82">
      <c r="A9" t="str">
        <f>Master!A9</f>
        <v>Dev</v>
      </c>
      <c r="B9" t="str">
        <f>Master!C9</f>
        <v>Sriram</v>
      </c>
      <c r="AP9">
        <v>23</v>
      </c>
      <c r="AS9">
        <v>38</v>
      </c>
      <c r="BF9">
        <v>38</v>
      </c>
      <c r="BW9">
        <v>27</v>
      </c>
    </row>
    <row r="10" spans="1:82">
      <c r="A10" t="str">
        <f>Master!A10</f>
        <v>Dev</v>
      </c>
      <c r="B10" t="str">
        <f>Master!C10</f>
        <v>Justin Meshew</v>
      </c>
      <c r="N10">
        <v>34</v>
      </c>
      <c r="R10">
        <v>11</v>
      </c>
      <c r="BW10">
        <v>81</v>
      </c>
    </row>
    <row r="11" spans="1:82">
      <c r="A11" t="str">
        <f>Master!A11</f>
        <v>Sr. Dev</v>
      </c>
      <c r="B11" t="str">
        <f>Master!C11</f>
        <v>Ryan Dailey</v>
      </c>
      <c r="BQ11">
        <v>11</v>
      </c>
      <c r="BW11">
        <v>103</v>
      </c>
    </row>
    <row r="12" spans="1:82">
      <c r="A12" t="str">
        <f>Master!A12</f>
        <v>Dev</v>
      </c>
      <c r="B12" t="str">
        <f>Master!C12</f>
        <v>Dean Bowles</v>
      </c>
      <c r="AP12">
        <v>13</v>
      </c>
      <c r="AS12">
        <v>23</v>
      </c>
      <c r="BF12">
        <v>74</v>
      </c>
      <c r="BW12">
        <v>4</v>
      </c>
    </row>
    <row r="13" spans="1:82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2">
      <c r="A14" t="str">
        <f>Master!A14</f>
        <v>Sr. Dev</v>
      </c>
      <c r="B14" t="str">
        <f>Master!C14</f>
        <v>Mark</v>
      </c>
      <c r="D14">
        <v>120</v>
      </c>
    </row>
    <row r="15" spans="1:82">
      <c r="A15" t="str">
        <f>Master!A15</f>
        <v>Dev</v>
      </c>
      <c r="B15" t="str">
        <f>Master!C15</f>
        <v>Kasey Goodwin</v>
      </c>
      <c r="X15">
        <v>120</v>
      </c>
    </row>
    <row r="16" spans="1:82">
      <c r="A16" t="str">
        <f>Master!A16</f>
        <v>Sr. Dev</v>
      </c>
      <c r="B16" t="str">
        <f>Master!C16</f>
        <v>Greg Brethen</v>
      </c>
      <c r="F16">
        <v>120</v>
      </c>
    </row>
    <row r="17" spans="1:76">
      <c r="A17" t="str">
        <f>Master!A17</f>
        <v xml:space="preserve">QA </v>
      </c>
      <c r="B17" t="str">
        <f>Master!C17</f>
        <v>Jackie Zweck</v>
      </c>
      <c r="G17">
        <v>50</v>
      </c>
      <c r="I17">
        <v>50</v>
      </c>
      <c r="BW17">
        <v>20</v>
      </c>
    </row>
    <row r="18" spans="1:76">
      <c r="A18" t="str">
        <f>Master!A18</f>
        <v>Dev</v>
      </c>
      <c r="B18" t="str">
        <f>Master!C18</f>
        <v>Thanuja Bachala</v>
      </c>
      <c r="G18">
        <v>50</v>
      </c>
      <c r="I18">
        <v>50</v>
      </c>
      <c r="BW18">
        <v>20</v>
      </c>
    </row>
    <row r="19" spans="1:76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76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N20">
        <v>10</v>
      </c>
      <c r="AD20">
        <v>5</v>
      </c>
      <c r="AJ20">
        <v>5</v>
      </c>
    </row>
    <row r="21" spans="1:76">
      <c r="A21" t="str">
        <f>Master!A21</f>
        <v>Product</v>
      </c>
      <c r="B21" t="str">
        <f>Master!C21</f>
        <v>Eunice Jallah</v>
      </c>
      <c r="BG21">
        <v>15</v>
      </c>
      <c r="BW21">
        <v>105</v>
      </c>
    </row>
    <row r="22" spans="1:76">
      <c r="A22" t="str">
        <f>Master!A22</f>
        <v>Product</v>
      </c>
      <c r="B22" t="str">
        <f>Master!C22</f>
        <v>Meera Mehta</v>
      </c>
      <c r="D22">
        <v>50</v>
      </c>
      <c r="T22">
        <v>60</v>
      </c>
      <c r="BW22">
        <v>10</v>
      </c>
    </row>
    <row r="23" spans="1:76">
      <c r="A23" t="str">
        <f>Master!A23</f>
        <v>Product</v>
      </c>
      <c r="B23" t="str">
        <f>Master!C23</f>
        <v>Rojina Thapa</v>
      </c>
      <c r="L23">
        <v>20</v>
      </c>
      <c r="AG23">
        <v>15</v>
      </c>
      <c r="BW23">
        <v>70</v>
      </c>
      <c r="BX23">
        <v>15</v>
      </c>
    </row>
    <row r="24" spans="1:76">
      <c r="A24" t="str">
        <f>Master!A24</f>
        <v>Product</v>
      </c>
      <c r="B24" t="str">
        <f>Master!C24</f>
        <v>Pankaj Kokate</v>
      </c>
      <c r="X24">
        <v>20</v>
      </c>
      <c r="AA24">
        <v>10</v>
      </c>
      <c r="BW24">
        <v>80</v>
      </c>
    </row>
    <row r="25" spans="1:76">
      <c r="A25" t="str">
        <f>Master!A25</f>
        <v>Product</v>
      </c>
      <c r="B25" t="str">
        <f>Master!C25</f>
        <v>Catherine Horton</v>
      </c>
      <c r="AM25">
        <v>120</v>
      </c>
    </row>
    <row r="26" spans="1:76">
      <c r="A26" t="str">
        <f>Master!A26</f>
        <v xml:space="preserve">Product </v>
      </c>
      <c r="B26" t="str">
        <f>Master!C26</f>
        <v>Latha Ramasamy</v>
      </c>
      <c r="G26">
        <v>60</v>
      </c>
      <c r="I26">
        <v>60</v>
      </c>
    </row>
    <row r="27" spans="1:76">
      <c r="A27" t="str">
        <f>Master!A27</f>
        <v>Sr. Dev</v>
      </c>
      <c r="B27" t="str">
        <f>Master!C27</f>
        <v>Claire Smith-Edwards</v>
      </c>
      <c r="D27">
        <v>120</v>
      </c>
    </row>
    <row r="28" spans="1:76">
      <c r="A28" t="str">
        <f>Master!A28</f>
        <v>Dev</v>
      </c>
      <c r="B28" t="str">
        <f>Master!C28</f>
        <v>Vinay Sunkyredi</v>
      </c>
      <c r="D28">
        <v>120</v>
      </c>
    </row>
    <row r="29" spans="1:76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76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  <row r="31" spans="1:76">
      <c r="A31">
        <f>Master!A31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711B-0CF5-4D18-8D49-90A9F130F15A}">
  <dimension ref="A1:CD30"/>
  <sheetViews>
    <sheetView workbookViewId="0">
      <pane xSplit="2" topLeftCell="AZ1" activePane="topRight" state="frozen"/>
      <selection pane="topRight" activeCell="BN27" sqref="BN27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  <col min="48" max="48" width="19.875" customWidth="1"/>
  </cols>
  <sheetData>
    <row r="1" spans="1:82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</row>
    <row r="2" spans="1:82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82">
      <c r="A3" t="str">
        <f>Master!A3</f>
        <v>Sr. Dev</v>
      </c>
      <c r="B3" t="str">
        <f>Master!C3</f>
        <v>Steven McKee</v>
      </c>
      <c r="G3">
        <v>120</v>
      </c>
    </row>
    <row r="4" spans="1:82">
      <c r="A4" t="str">
        <f>Master!A4</f>
        <v>Dev</v>
      </c>
      <c r="B4" t="str">
        <f>Master!C4</f>
        <v xml:space="preserve">Pooja </v>
      </c>
      <c r="BV4">
        <v>60</v>
      </c>
      <c r="BW4">
        <v>60</v>
      </c>
    </row>
    <row r="5" spans="1:82">
      <c r="A5" t="str">
        <f>Master!A5</f>
        <v>Sr. Dev</v>
      </c>
      <c r="B5" t="str">
        <f>Master!C5</f>
        <v xml:space="preserve">Tony </v>
      </c>
      <c r="G5">
        <v>120</v>
      </c>
    </row>
    <row r="6" spans="1:82">
      <c r="A6" t="str">
        <f>Master!A6</f>
        <v>Dev</v>
      </c>
      <c r="B6" t="str">
        <f>Master!C6</f>
        <v>Lalitha</v>
      </c>
      <c r="N6">
        <v>21</v>
      </c>
      <c r="R6">
        <v>2</v>
      </c>
      <c r="AD6">
        <v>12</v>
      </c>
      <c r="BW6">
        <v>66</v>
      </c>
      <c r="BZ6">
        <v>23</v>
      </c>
    </row>
    <row r="7" spans="1:82">
      <c r="A7" t="str">
        <f>Master!A7</f>
        <v>Sr. Dev</v>
      </c>
      <c r="B7" t="str">
        <f>Master!C7</f>
        <v>Greg Marcum</v>
      </c>
      <c r="F7">
        <v>3</v>
      </c>
      <c r="R7">
        <v>36</v>
      </c>
      <c r="BE7">
        <v>8</v>
      </c>
      <c r="BW7">
        <v>37</v>
      </c>
      <c r="BZ7">
        <v>30</v>
      </c>
    </row>
    <row r="8" spans="1:82">
      <c r="A8" t="str">
        <f>Master!A8</f>
        <v>Dev</v>
      </c>
      <c r="B8" t="str">
        <f>Master!C8</f>
        <v>Simrath</v>
      </c>
      <c r="N8">
        <v>73</v>
      </c>
      <c r="BQ8">
        <v>2</v>
      </c>
      <c r="BW8">
        <v>39</v>
      </c>
    </row>
    <row r="9" spans="1:82">
      <c r="A9" t="str">
        <f>Master!A9</f>
        <v>Dev</v>
      </c>
      <c r="B9" t="str">
        <f>Master!C9</f>
        <v>Sriram</v>
      </c>
      <c r="AP9">
        <v>30</v>
      </c>
      <c r="AS9">
        <v>38</v>
      </c>
      <c r="BF9">
        <v>23</v>
      </c>
      <c r="BW9">
        <v>23</v>
      </c>
    </row>
    <row r="10" spans="1:82">
      <c r="A10" t="str">
        <f>Master!A10</f>
        <v>Dev</v>
      </c>
      <c r="B10" t="str">
        <f>Master!C10</f>
        <v>Justin Meshew</v>
      </c>
      <c r="N10">
        <v>67</v>
      </c>
      <c r="R10">
        <v>6</v>
      </c>
      <c r="BW10">
        <v>53</v>
      </c>
    </row>
    <row r="11" spans="1:82">
      <c r="A11" t="str">
        <f>Master!A11</f>
        <v>Sr. Dev</v>
      </c>
      <c r="B11" t="str">
        <f>Master!C11</f>
        <v>Ryan Dailey</v>
      </c>
      <c r="BQ11">
        <v>9</v>
      </c>
      <c r="BW11">
        <v>105</v>
      </c>
    </row>
    <row r="12" spans="1:82">
      <c r="A12" t="str">
        <f>Master!A12</f>
        <v>Dev</v>
      </c>
      <c r="B12" t="str">
        <f>Master!C12</f>
        <v>Dean Bowles</v>
      </c>
      <c r="AP12">
        <v>27</v>
      </c>
      <c r="AS12">
        <v>31</v>
      </c>
      <c r="BF12">
        <v>54</v>
      </c>
      <c r="BW12">
        <v>2</v>
      </c>
    </row>
    <row r="13" spans="1:82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2">
      <c r="A14" t="str">
        <f>Master!A14</f>
        <v>Sr. Dev</v>
      </c>
      <c r="B14" t="str">
        <f>Master!C14</f>
        <v>Mark</v>
      </c>
      <c r="D14">
        <v>120</v>
      </c>
    </row>
    <row r="15" spans="1:82">
      <c r="A15" t="str">
        <f>Master!A15</f>
        <v>Dev</v>
      </c>
      <c r="B15" t="str">
        <f>Master!C15</f>
        <v>Kasey Goodwin</v>
      </c>
      <c r="X15">
        <v>120</v>
      </c>
    </row>
    <row r="16" spans="1:82">
      <c r="A16" t="str">
        <f>Master!A16</f>
        <v>Sr. Dev</v>
      </c>
      <c r="B16" t="str">
        <f>Master!C16</f>
        <v>Greg Brethen</v>
      </c>
      <c r="F16">
        <v>120</v>
      </c>
    </row>
    <row r="17" spans="1:81">
      <c r="A17" t="str">
        <f>Master!A17</f>
        <v xml:space="preserve">QA </v>
      </c>
      <c r="B17" t="str">
        <f>Master!C17</f>
        <v>Jackie Zweck</v>
      </c>
      <c r="G17">
        <v>50</v>
      </c>
      <c r="I17">
        <v>50</v>
      </c>
      <c r="BW17">
        <v>20</v>
      </c>
    </row>
    <row r="18" spans="1:81">
      <c r="A18" t="str">
        <f>Master!A18</f>
        <v>Dev</v>
      </c>
      <c r="B18" t="str">
        <f>Master!C18</f>
        <v>Thanuja Bachala</v>
      </c>
      <c r="G18">
        <v>50</v>
      </c>
      <c r="I18">
        <v>50</v>
      </c>
      <c r="BW18">
        <v>20</v>
      </c>
    </row>
    <row r="19" spans="1:81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81">
      <c r="A20" t="str">
        <f>Master!A20</f>
        <v xml:space="preserve">QA </v>
      </c>
      <c r="B20" t="str">
        <f>Master!C20</f>
        <v>Akhil Musani</v>
      </c>
      <c r="D20">
        <v>90</v>
      </c>
      <c r="F20">
        <v>10</v>
      </c>
      <c r="N20">
        <v>20</v>
      </c>
      <c r="AD20">
        <v>5</v>
      </c>
      <c r="AJ20">
        <v>5</v>
      </c>
    </row>
    <row r="21" spans="1:81">
      <c r="A21" t="str">
        <f>Master!A21</f>
        <v>Product</v>
      </c>
      <c r="B21" t="str">
        <f>Master!C21</f>
        <v>Eunice Jallah</v>
      </c>
      <c r="BW21">
        <v>120</v>
      </c>
    </row>
    <row r="22" spans="1:81">
      <c r="A22" t="str">
        <f>Master!A22</f>
        <v>Product</v>
      </c>
      <c r="B22" t="str">
        <f>Master!C22</f>
        <v>Meera Mehta</v>
      </c>
      <c r="D22">
        <v>60</v>
      </c>
      <c r="T22">
        <v>60</v>
      </c>
      <c r="BW22">
        <v>20</v>
      </c>
    </row>
    <row r="23" spans="1:81">
      <c r="A23" t="str">
        <f>Master!A23</f>
        <v>Product</v>
      </c>
      <c r="B23" t="str">
        <f>Master!C23</f>
        <v>Rojina Thapa</v>
      </c>
      <c r="L23">
        <v>20</v>
      </c>
      <c r="AG23">
        <v>15</v>
      </c>
      <c r="BW23">
        <v>65</v>
      </c>
      <c r="CC23">
        <v>20</v>
      </c>
    </row>
    <row r="24" spans="1:81">
      <c r="A24" t="str">
        <f>Master!A24</f>
        <v>Product</v>
      </c>
      <c r="B24" t="str">
        <f>Master!C24</f>
        <v>Pankaj Kokate</v>
      </c>
      <c r="X24">
        <v>20</v>
      </c>
      <c r="BW24">
        <v>80</v>
      </c>
    </row>
    <row r="25" spans="1:81">
      <c r="A25" t="str">
        <f>Master!A25</f>
        <v>Product</v>
      </c>
      <c r="B25" t="str">
        <f>Master!C25</f>
        <v>Catherine Horton</v>
      </c>
      <c r="AM25">
        <v>120</v>
      </c>
    </row>
    <row r="26" spans="1:81">
      <c r="A26" t="str">
        <f>Master!A26</f>
        <v xml:space="preserve">Product </v>
      </c>
      <c r="B26" t="str">
        <f>Master!C26</f>
        <v>Latha Ramasamy</v>
      </c>
      <c r="G26">
        <v>50</v>
      </c>
      <c r="I26">
        <v>60</v>
      </c>
      <c r="BN26">
        <v>10</v>
      </c>
    </row>
    <row r="27" spans="1:81">
      <c r="A27" t="str">
        <f>Master!A27</f>
        <v>Sr. Dev</v>
      </c>
      <c r="B27" t="str">
        <f>Master!C27</f>
        <v>Claire Smith-Edwards</v>
      </c>
      <c r="D27">
        <v>120</v>
      </c>
    </row>
    <row r="28" spans="1:81">
      <c r="A28" t="str">
        <f>Master!A28</f>
        <v>Dev</v>
      </c>
      <c r="B28" t="str">
        <f>Master!C28</f>
        <v>Vinay Sunkyredi</v>
      </c>
      <c r="D28">
        <v>120</v>
      </c>
    </row>
    <row r="29" spans="1:81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81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2AFF-57A4-42DD-9DC1-8CFF6B22419D}">
  <dimension ref="A1:CD30"/>
  <sheetViews>
    <sheetView tabSelected="1" workbookViewId="0">
      <pane xSplit="2" topLeftCell="C1" activePane="topRight" state="frozen"/>
      <selection pane="topRight" activeCell="F19" sqref="F19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82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</row>
    <row r="2" spans="1:82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82">
      <c r="A3" t="str">
        <f>Master!A3</f>
        <v>Sr. Dev</v>
      </c>
      <c r="B3" t="str">
        <f>Master!C3</f>
        <v>Steven McKee</v>
      </c>
      <c r="G3">
        <v>120</v>
      </c>
    </row>
    <row r="4" spans="1:82">
      <c r="A4" t="str">
        <f>Master!A4</f>
        <v>Dev</v>
      </c>
      <c r="B4" t="str">
        <f>Master!C4</f>
        <v xml:space="preserve">Pooja </v>
      </c>
      <c r="BV4">
        <v>60</v>
      </c>
      <c r="BW4">
        <v>60</v>
      </c>
    </row>
    <row r="5" spans="1:82">
      <c r="A5" t="str">
        <f>Master!A5</f>
        <v>Sr. Dev</v>
      </c>
      <c r="B5" t="str">
        <f>Master!C5</f>
        <v xml:space="preserve">Tony </v>
      </c>
      <c r="G5">
        <v>120</v>
      </c>
    </row>
    <row r="6" spans="1:82">
      <c r="A6" t="str">
        <f>Master!A6</f>
        <v>Dev</v>
      </c>
      <c r="B6" t="str">
        <f>Master!C6</f>
        <v>Lalitha</v>
      </c>
      <c r="N6">
        <v>21</v>
      </c>
      <c r="R6">
        <v>4</v>
      </c>
      <c r="AD6">
        <v>18</v>
      </c>
      <c r="BW6">
        <v>88</v>
      </c>
      <c r="BZ6">
        <v>10</v>
      </c>
    </row>
    <row r="7" spans="1:82">
      <c r="A7" t="str">
        <f>Master!A7</f>
        <v>Sr. Dev</v>
      </c>
      <c r="B7" t="str">
        <f>Master!C7</f>
        <v>Greg Marcum</v>
      </c>
      <c r="F7">
        <v>5</v>
      </c>
      <c r="R7">
        <v>89</v>
      </c>
      <c r="BE7">
        <v>4</v>
      </c>
      <c r="BW7">
        <v>26</v>
      </c>
      <c r="BZ7">
        <v>13</v>
      </c>
    </row>
    <row r="8" spans="1:82">
      <c r="A8" t="str">
        <f>Master!A8</f>
        <v>Dev</v>
      </c>
      <c r="B8" t="str">
        <f>Master!C8</f>
        <v>Simrath</v>
      </c>
      <c r="N8">
        <v>69</v>
      </c>
      <c r="BW8">
        <v>51</v>
      </c>
    </row>
    <row r="9" spans="1:82">
      <c r="A9" t="str">
        <f>Master!A9</f>
        <v>Dev</v>
      </c>
      <c r="B9" t="str">
        <f>Master!C9</f>
        <v>Sriram</v>
      </c>
      <c r="AP9">
        <v>22</v>
      </c>
      <c r="AS9">
        <v>76</v>
      </c>
      <c r="BF9">
        <v>6</v>
      </c>
      <c r="BW9">
        <v>16</v>
      </c>
    </row>
    <row r="10" spans="1:82">
      <c r="A10" t="str">
        <f>Master!A10</f>
        <v>Dev</v>
      </c>
      <c r="B10" t="str">
        <f>Master!C10</f>
        <v>Justin Meshew</v>
      </c>
      <c r="N10">
        <v>116</v>
      </c>
      <c r="R10">
        <v>3</v>
      </c>
      <c r="BW10">
        <v>4</v>
      </c>
    </row>
    <row r="11" spans="1:82">
      <c r="A11" t="str">
        <f>Master!A11</f>
        <v>Sr. Dev</v>
      </c>
      <c r="B11" t="str">
        <f>Master!C11</f>
        <v>Ryan Dailey</v>
      </c>
      <c r="BQ11">
        <v>24</v>
      </c>
      <c r="BW11">
        <v>96</v>
      </c>
    </row>
    <row r="12" spans="1:82">
      <c r="A12" t="str">
        <f>Master!A12</f>
        <v>Dev</v>
      </c>
      <c r="B12" t="str">
        <f>Master!C12</f>
        <v>Dean Bowles</v>
      </c>
      <c r="AP12">
        <v>69</v>
      </c>
      <c r="AS12">
        <v>40</v>
      </c>
      <c r="BF12">
        <v>11</v>
      </c>
    </row>
    <row r="13" spans="1:82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2">
      <c r="A14" t="str">
        <f>Master!A14</f>
        <v>Sr. Dev</v>
      </c>
      <c r="B14" t="str">
        <f>Master!C14</f>
        <v>Mark</v>
      </c>
      <c r="D14">
        <v>120</v>
      </c>
    </row>
    <row r="15" spans="1:82">
      <c r="A15" t="str">
        <f>Master!A15</f>
        <v>Dev</v>
      </c>
      <c r="B15" t="str">
        <f>Master!C15</f>
        <v>Kasey Goodwin</v>
      </c>
      <c r="X15">
        <v>120</v>
      </c>
    </row>
    <row r="16" spans="1:82">
      <c r="A16" t="str">
        <f>Master!A16</f>
        <v>Sr. Dev</v>
      </c>
      <c r="B16" t="str">
        <f>Master!C16</f>
        <v>Greg Brethen</v>
      </c>
      <c r="F16">
        <v>120</v>
      </c>
    </row>
    <row r="17" spans="1:81">
      <c r="A17" t="str">
        <f>Master!A17</f>
        <v xml:space="preserve">QA </v>
      </c>
      <c r="B17" t="str">
        <f>Master!C17</f>
        <v>Jackie Zweck</v>
      </c>
      <c r="G17">
        <v>50</v>
      </c>
      <c r="I17">
        <v>50</v>
      </c>
      <c r="BW17">
        <v>20</v>
      </c>
    </row>
    <row r="18" spans="1:81">
      <c r="A18" t="str">
        <f>Master!A18</f>
        <v>Dev</v>
      </c>
      <c r="B18" t="str">
        <f>Master!C18</f>
        <v>Thanuja Bachala</v>
      </c>
      <c r="G18">
        <v>50</v>
      </c>
      <c r="I18">
        <v>50</v>
      </c>
      <c r="BW18">
        <v>20</v>
      </c>
    </row>
    <row r="19" spans="1:81">
      <c r="A19" t="str">
        <f>Master!A19</f>
        <v xml:space="preserve">QA </v>
      </c>
      <c r="B19" t="str">
        <f>Master!C19</f>
        <v>Neeharika Gadela</v>
      </c>
      <c r="N19">
        <v>10</v>
      </c>
      <c r="BW19">
        <v>110</v>
      </c>
    </row>
    <row r="20" spans="1:81">
      <c r="A20" t="str">
        <f>Master!A20</f>
        <v xml:space="preserve">QA </v>
      </c>
      <c r="B20" t="str">
        <f>Master!C20</f>
        <v>Akhil Musani</v>
      </c>
      <c r="D20">
        <v>80</v>
      </c>
      <c r="F20">
        <v>10</v>
      </c>
      <c r="N20">
        <v>20</v>
      </c>
      <c r="AJ20">
        <v>5</v>
      </c>
    </row>
    <row r="21" spans="1:81">
      <c r="A21" t="str">
        <f>Master!A21</f>
        <v>Product</v>
      </c>
      <c r="B21" t="str">
        <f>Master!C21</f>
        <v>Eunice Jallah</v>
      </c>
      <c r="BW21">
        <v>120</v>
      </c>
    </row>
    <row r="22" spans="1:81">
      <c r="A22" t="str">
        <f>Master!A22</f>
        <v>Product</v>
      </c>
      <c r="B22" t="str">
        <f>Master!C22</f>
        <v>Meera Mehta</v>
      </c>
      <c r="D22">
        <v>100</v>
      </c>
      <c r="T22">
        <v>20</v>
      </c>
    </row>
    <row r="23" spans="1:81">
      <c r="A23" t="str">
        <f>Master!A23</f>
        <v>Product</v>
      </c>
      <c r="B23" t="str">
        <f>Master!C23</f>
        <v>Rojina Thapa</v>
      </c>
      <c r="L23">
        <v>40</v>
      </c>
      <c r="AG23">
        <v>10</v>
      </c>
      <c r="AS23">
        <v>10</v>
      </c>
      <c r="BW23">
        <v>35</v>
      </c>
      <c r="CC23">
        <v>25</v>
      </c>
    </row>
    <row r="24" spans="1:81">
      <c r="A24" t="str">
        <f>Master!A24</f>
        <v>Product</v>
      </c>
      <c r="B24" t="str">
        <f>Master!C24</f>
        <v>Pankaj Kokate</v>
      </c>
      <c r="X24">
        <v>20</v>
      </c>
      <c r="BW24">
        <v>100</v>
      </c>
    </row>
    <row r="25" spans="1:81">
      <c r="A25" t="str">
        <f>Master!A25</f>
        <v>Product</v>
      </c>
      <c r="B25" t="str">
        <f>Master!C25</f>
        <v>Catherine Horton</v>
      </c>
      <c r="AM25">
        <v>120</v>
      </c>
    </row>
    <row r="26" spans="1:81">
      <c r="A26" t="str">
        <f>Master!A26</f>
        <v xml:space="preserve">Product </v>
      </c>
      <c r="B26" t="str">
        <f>Master!C26</f>
        <v>Latha Ramasamy</v>
      </c>
      <c r="G26">
        <v>40</v>
      </c>
      <c r="I26">
        <v>60</v>
      </c>
      <c r="BN26">
        <v>20</v>
      </c>
    </row>
    <row r="27" spans="1:81">
      <c r="A27" t="str">
        <f>Master!A27</f>
        <v>Sr. Dev</v>
      </c>
      <c r="B27" t="str">
        <f>Master!C27</f>
        <v>Claire Smith-Edwards</v>
      </c>
      <c r="D27">
        <v>120</v>
      </c>
    </row>
    <row r="28" spans="1:81">
      <c r="A28" t="str">
        <f>Master!A28</f>
        <v>Dev</v>
      </c>
      <c r="B28" t="str">
        <f>Master!C28</f>
        <v>Vinay Sunkyredi</v>
      </c>
      <c r="D28">
        <v>120</v>
      </c>
    </row>
    <row r="29" spans="1:81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81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E1BE-510D-4A2F-8193-A157ECFF1293}">
  <dimension ref="A1:CD30"/>
  <sheetViews>
    <sheetView workbookViewId="0">
      <pane xSplit="2" topLeftCell="Z1" activePane="topRight" state="frozen"/>
      <selection pane="topRight" activeCell="AE19" sqref="AE19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82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</row>
    <row r="2" spans="1:82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</row>
    <row r="3" spans="1:82">
      <c r="A3" t="str">
        <f>Master!A3</f>
        <v>Sr. Dev</v>
      </c>
      <c r="B3" t="str">
        <f>Master!C3</f>
        <v>Steven McKee</v>
      </c>
      <c r="G3">
        <v>120</v>
      </c>
    </row>
    <row r="4" spans="1:82">
      <c r="A4" t="str">
        <f>Master!A4</f>
        <v>Dev</v>
      </c>
      <c r="B4" t="str">
        <f>Master!C4</f>
        <v xml:space="preserve">Pooja </v>
      </c>
      <c r="BV4">
        <v>60</v>
      </c>
      <c r="BW4">
        <v>60</v>
      </c>
    </row>
    <row r="5" spans="1:82">
      <c r="A5" t="str">
        <f>Master!A5</f>
        <v>Sr. Dev</v>
      </c>
      <c r="B5" t="str">
        <f>Master!C5</f>
        <v xml:space="preserve">Tony </v>
      </c>
      <c r="G5">
        <v>120</v>
      </c>
    </row>
    <row r="6" spans="1:82">
      <c r="A6" t="str">
        <f>Master!A6</f>
        <v>Dev</v>
      </c>
      <c r="B6" t="str">
        <f>Master!C6</f>
        <v>Lalitha</v>
      </c>
      <c r="AD6">
        <v>80</v>
      </c>
      <c r="BW6">
        <v>40</v>
      </c>
    </row>
    <row r="7" spans="1:82">
      <c r="A7" t="str">
        <f>Master!A7</f>
        <v>Sr. Dev</v>
      </c>
      <c r="B7" t="str">
        <f>Master!C7</f>
        <v>Greg Marcum</v>
      </c>
      <c r="BW7">
        <v>120</v>
      </c>
    </row>
    <row r="8" spans="1:82">
      <c r="A8" t="str">
        <f>Master!A8</f>
        <v>Dev</v>
      </c>
      <c r="B8" t="str">
        <f>Master!C8</f>
        <v>Simrath</v>
      </c>
      <c r="O8">
        <v>120</v>
      </c>
    </row>
    <row r="9" spans="1:82">
      <c r="A9" t="str">
        <f>Master!A9</f>
        <v>Dev</v>
      </c>
      <c r="B9" t="str">
        <f>Master!C9</f>
        <v>Sriram</v>
      </c>
      <c r="AP9">
        <v>120</v>
      </c>
    </row>
    <row r="10" spans="1:82">
      <c r="A10" t="str">
        <f>Master!A10</f>
        <v>Dev</v>
      </c>
      <c r="B10" t="str">
        <f>Master!C10</f>
        <v>Justin Meshew</v>
      </c>
      <c r="O10">
        <v>120</v>
      </c>
    </row>
    <row r="11" spans="1:82">
      <c r="A11" t="str">
        <f>Master!A11</f>
        <v>Sr. Dev</v>
      </c>
      <c r="B11" t="str">
        <f>Master!C11</f>
        <v>Ryan Dailey</v>
      </c>
      <c r="BW11">
        <v>120</v>
      </c>
    </row>
    <row r="12" spans="1:82">
      <c r="A12" t="str">
        <f>Master!A12</f>
        <v>Dev</v>
      </c>
      <c r="B12" t="str">
        <f>Master!C12</f>
        <v>Dean Bowles</v>
      </c>
      <c r="BF12">
        <v>120</v>
      </c>
    </row>
    <row r="13" spans="1:82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2">
      <c r="A14" t="str">
        <f>Master!A14</f>
        <v>Sr. Dev</v>
      </c>
      <c r="B14" t="str">
        <f>Master!C14</f>
        <v>Mark</v>
      </c>
      <c r="D14">
        <v>120</v>
      </c>
    </row>
    <row r="15" spans="1:82">
      <c r="A15" t="str">
        <f>Master!A15</f>
        <v>Dev</v>
      </c>
      <c r="B15" t="str">
        <f>Master!C15</f>
        <v>Kasey Goodwin</v>
      </c>
      <c r="X15">
        <v>120</v>
      </c>
    </row>
    <row r="16" spans="1:82">
      <c r="A16" t="str">
        <f>Master!A16</f>
        <v>Sr. Dev</v>
      </c>
      <c r="B16" t="str">
        <f>Master!C16</f>
        <v>Greg Brethen</v>
      </c>
      <c r="F16">
        <v>120</v>
      </c>
    </row>
    <row r="17" spans="1:81">
      <c r="A17" t="str">
        <f>Master!A17</f>
        <v xml:space="preserve">QA </v>
      </c>
      <c r="B17" t="str">
        <f>Master!C17</f>
        <v>Jackie Zweck</v>
      </c>
      <c r="G17">
        <v>50</v>
      </c>
      <c r="I17">
        <v>50</v>
      </c>
      <c r="BW17">
        <v>20</v>
      </c>
    </row>
    <row r="18" spans="1:81">
      <c r="A18" t="str">
        <f>Master!A18</f>
        <v>Dev</v>
      </c>
      <c r="B18" t="str">
        <f>Master!C18</f>
        <v>Thanuja Bachala</v>
      </c>
      <c r="G18">
        <v>50</v>
      </c>
      <c r="I18">
        <v>50</v>
      </c>
      <c r="BW18">
        <v>20</v>
      </c>
    </row>
    <row r="19" spans="1:81">
      <c r="A19" t="str">
        <f>Master!A19</f>
        <v xml:space="preserve">QA </v>
      </c>
      <c r="B19" t="str">
        <f>Master!C19</f>
        <v>Neeharika Gadela</v>
      </c>
      <c r="O19">
        <v>20</v>
      </c>
      <c r="AF19">
        <v>10</v>
      </c>
      <c r="AJ19">
        <v>5</v>
      </c>
      <c r="BW19">
        <v>75</v>
      </c>
    </row>
    <row r="20" spans="1:81">
      <c r="A20" t="str">
        <f>Master!A20</f>
        <v xml:space="preserve">QA </v>
      </c>
      <c r="B20" t="str">
        <f>Master!C20</f>
        <v>Akhil Musani</v>
      </c>
      <c r="D20">
        <v>70</v>
      </c>
      <c r="F20">
        <v>10</v>
      </c>
      <c r="O20">
        <v>20</v>
      </c>
      <c r="AD20">
        <v>5</v>
      </c>
      <c r="BW20">
        <v>10</v>
      </c>
    </row>
    <row r="21" spans="1:81">
      <c r="A21" t="str">
        <f>Master!A21</f>
        <v>Product</v>
      </c>
      <c r="B21" t="str">
        <f>Master!C21</f>
        <v>Eunice Jallah</v>
      </c>
      <c r="BW21">
        <v>120</v>
      </c>
    </row>
    <row r="22" spans="1:81">
      <c r="A22" t="str">
        <f>Master!A22</f>
        <v>Product</v>
      </c>
      <c r="B22" t="str">
        <f>Master!C22</f>
        <v>Meera Mehta</v>
      </c>
      <c r="D22">
        <v>100</v>
      </c>
      <c r="T22">
        <v>20</v>
      </c>
    </row>
    <row r="23" spans="1:81">
      <c r="A23" t="str">
        <f>Master!A23</f>
        <v>Product</v>
      </c>
      <c r="B23" t="str">
        <f>Master!C23</f>
        <v>Rojina Thapa</v>
      </c>
      <c r="L23">
        <v>60</v>
      </c>
      <c r="AG23">
        <v>10</v>
      </c>
      <c r="AS23">
        <v>10</v>
      </c>
      <c r="BW23">
        <v>15</v>
      </c>
      <c r="CC23">
        <v>25</v>
      </c>
    </row>
    <row r="24" spans="1:81">
      <c r="A24" t="str">
        <f>Master!A24</f>
        <v>Product</v>
      </c>
      <c r="B24" t="str">
        <f>Master!C24</f>
        <v>Pankaj Kokate</v>
      </c>
      <c r="X24">
        <v>20</v>
      </c>
      <c r="BW24">
        <v>100</v>
      </c>
    </row>
    <row r="25" spans="1:81">
      <c r="A25" t="str">
        <f>Master!A25</f>
        <v>Product</v>
      </c>
      <c r="B25" t="str">
        <f>Master!C25</f>
        <v>Catherine Horton</v>
      </c>
      <c r="AM25">
        <v>120</v>
      </c>
    </row>
    <row r="26" spans="1:81">
      <c r="A26" t="str">
        <f>Master!A26</f>
        <v xml:space="preserve">Product </v>
      </c>
      <c r="B26" t="str">
        <f>Master!C26</f>
        <v>Latha Ramasamy</v>
      </c>
      <c r="G26">
        <v>60</v>
      </c>
      <c r="I26">
        <v>60</v>
      </c>
    </row>
    <row r="27" spans="1:81">
      <c r="A27" t="str">
        <f>Master!A27</f>
        <v>Sr. Dev</v>
      </c>
      <c r="B27" t="str">
        <f>Master!C27</f>
        <v>Claire Smith-Edwards</v>
      </c>
      <c r="D27">
        <v>120</v>
      </c>
    </row>
    <row r="28" spans="1:81">
      <c r="A28" t="str">
        <f>Master!A28</f>
        <v>Dev</v>
      </c>
      <c r="B28" t="str">
        <f>Master!C28</f>
        <v>Vinay Sunkyredi</v>
      </c>
      <c r="D28">
        <v>90</v>
      </c>
      <c r="W28">
        <v>30</v>
      </c>
    </row>
    <row r="29" spans="1:81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81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D4C0-6756-4D52-8739-7DEED5329490}">
  <dimension ref="A1:CE30"/>
  <sheetViews>
    <sheetView workbookViewId="0">
      <pane xSplit="2" topLeftCell="C1" activePane="topRight" state="frozen"/>
      <selection pane="topRight" activeCell="C30" sqref="C30"/>
    </sheetView>
  </sheetViews>
  <sheetFormatPr defaultColWidth="11" defaultRowHeight="15.95"/>
  <cols>
    <col min="1" max="1" width="9" bestFit="1" customWidth="1"/>
    <col min="2" max="2" width="15.375" bestFit="1" customWidth="1"/>
    <col min="3" max="5" width="9" bestFit="1" customWidth="1"/>
    <col min="6" max="6" width="11.875" bestFit="1" customWidth="1"/>
    <col min="7" max="8" width="9" bestFit="1" customWidth="1"/>
    <col min="9" max="9" width="11.875" bestFit="1" customWidth="1"/>
  </cols>
  <sheetData>
    <row r="1" spans="1:83" s="1" customFormat="1">
      <c r="C1" s="1" t="str">
        <f>Master!E1</f>
        <v>Product</v>
      </c>
      <c r="D1" s="1" t="str">
        <f>Master!F1</f>
        <v>SWORD</v>
      </c>
      <c r="E1" s="1" t="str">
        <f>Master!G1</f>
        <v>SWORD</v>
      </c>
      <c r="F1" s="1" t="str">
        <f>Master!H1</f>
        <v>SWORD</v>
      </c>
      <c r="G1" s="1" t="str">
        <f>Master!I1</f>
        <v>TEDS</v>
      </c>
      <c r="H1" s="1" t="str">
        <f>Master!J1</f>
        <v>TEDS</v>
      </c>
      <c r="I1" s="1" t="str">
        <f>Master!K1</f>
        <v>TEDS</v>
      </c>
      <c r="J1" s="1" t="str">
        <f>Master!L1</f>
        <v>SPEAR</v>
      </c>
      <c r="K1" s="1" t="str">
        <f>Master!M1</f>
        <v>SPEAR</v>
      </c>
      <c r="L1" s="1" t="str">
        <f>Master!N1</f>
        <v>SPEAR</v>
      </c>
      <c r="M1" s="1" t="str">
        <f>Master!O1</f>
        <v>InformTN</v>
      </c>
      <c r="N1" s="1" t="str">
        <f>Master!P1</f>
        <v>InformTN</v>
      </c>
      <c r="O1" s="1" t="str">
        <f>Master!Q1</f>
        <v>InformTN</v>
      </c>
      <c r="P1" s="1" t="str">
        <f>Master!R1</f>
        <v>Accountability</v>
      </c>
      <c r="Q1" s="1" t="str">
        <f>Master!S1</f>
        <v>Accountability</v>
      </c>
      <c r="R1" s="1" t="str">
        <f>Master!T1</f>
        <v>Accountability</v>
      </c>
      <c r="S1" s="1" t="str">
        <f>Master!U1</f>
        <v>ECEDS</v>
      </c>
      <c r="T1" s="1" t="str">
        <f>Master!V1</f>
        <v>ECEDS</v>
      </c>
      <c r="U1" s="1" t="str">
        <f>Master!W1</f>
        <v>ECEDS</v>
      </c>
      <c r="V1" s="1" t="str">
        <f>Master!X1</f>
        <v>URS</v>
      </c>
      <c r="W1" s="1" t="str">
        <f>Master!Y1</f>
        <v>URS</v>
      </c>
      <c r="X1" s="1" t="str">
        <f>Master!Z1</f>
        <v>URS</v>
      </c>
      <c r="Y1" s="1" t="str">
        <f>Master!AA1</f>
        <v>CCR</v>
      </c>
      <c r="Z1" s="1" t="str">
        <f>Master!AB1</f>
        <v>CCR</v>
      </c>
      <c r="AA1" s="1" t="str">
        <f>Master!AC1</f>
        <v>CCR</v>
      </c>
      <c r="AB1" s="1" t="str">
        <f>Master!AD1</f>
        <v>CCMS</v>
      </c>
      <c r="AC1" s="1" t="str">
        <f>Master!AE1</f>
        <v>CCMS</v>
      </c>
      <c r="AD1" s="1" t="str">
        <f>Master!AF1</f>
        <v>CCMS</v>
      </c>
      <c r="AE1" s="1" t="str">
        <f>Master!AG1</f>
        <v>TNSD</v>
      </c>
      <c r="AF1" s="1" t="str">
        <f>Master!AH1</f>
        <v>TNSD</v>
      </c>
      <c r="AG1" s="1" t="str">
        <f>Master!AI1</f>
        <v>TNSD</v>
      </c>
      <c r="AH1" s="1" t="str">
        <f>Master!AJ1</f>
        <v>TN Portfolio</v>
      </c>
      <c r="AI1" s="1" t="str">
        <f>Master!AK1</f>
        <v>TN Portfolio</v>
      </c>
      <c r="AJ1" s="1" t="str">
        <f>Master!AL1</f>
        <v>TN Portfolio</v>
      </c>
      <c r="AK1" s="1" t="str">
        <f>Master!AM1</f>
        <v>School Nutrition</v>
      </c>
      <c r="AL1" s="1" t="str">
        <f>Master!AN1</f>
        <v>School Nutrition</v>
      </c>
      <c r="AM1" s="1" t="str">
        <f>Master!AO1</f>
        <v>School Nutrition</v>
      </c>
      <c r="AN1" s="1" t="str">
        <f>Master!AP1</f>
        <v>TN TAN</v>
      </c>
      <c r="AO1" s="1" t="str">
        <f>Master!AQ1</f>
        <v>TN TAN</v>
      </c>
      <c r="AP1" s="1" t="str">
        <f>Master!AR1</f>
        <v>TN TAN</v>
      </c>
      <c r="AQ1" s="1" t="str">
        <f>Master!AS1</f>
        <v>OAT/BFAC</v>
      </c>
      <c r="AR1" s="1" t="str">
        <f>Master!AT1</f>
        <v>OAT/BFAC</v>
      </c>
      <c r="AS1" s="1" t="str">
        <f>Master!AU1</f>
        <v>OAT/BFAC</v>
      </c>
      <c r="AT1" s="1" t="str">
        <f>Master!AV1</f>
        <v>P20 (CEDS, CCWIS)</v>
      </c>
      <c r="AU1" s="1" t="str">
        <f>Master!AW1</f>
        <v>P20 (CEDS, CCWIS)</v>
      </c>
      <c r="AV1" s="1" t="str">
        <f>Master!AX1</f>
        <v>P20 (CEDS, CCWIS)</v>
      </c>
      <c r="AW1" s="1" t="str">
        <f>Master!AY1</f>
        <v>ePlan</v>
      </c>
      <c r="AX1" s="1" t="str">
        <f>Master!AZ1</f>
        <v>ePlan</v>
      </c>
      <c r="AY1" s="1" t="str">
        <f>Master!BA1</f>
        <v>ePlan</v>
      </c>
      <c r="AZ1" s="1" t="str">
        <f>Master!BB1</f>
        <v>Enterprise Reporting</v>
      </c>
      <c r="BA1" s="1" t="str">
        <f>Master!BC1</f>
        <v>Enterprise Reporting</v>
      </c>
      <c r="BB1" s="1" t="str">
        <f>Master!BD1</f>
        <v>Enterprise Reporting</v>
      </c>
      <c r="BC1" s="1" t="str">
        <f>Master!BE1</f>
        <v>EPSO</v>
      </c>
      <c r="BD1" s="1" t="str">
        <f>Master!BF1</f>
        <v>EPSO</v>
      </c>
      <c r="BE1" s="1" t="str">
        <f>Master!BG1</f>
        <v>EPSO</v>
      </c>
      <c r="BF1" s="1" t="str">
        <f>Master!BH1</f>
        <v>FutureReady</v>
      </c>
      <c r="BG1" s="1" t="str">
        <f>Master!BI1</f>
        <v>FutureReady</v>
      </c>
      <c r="BH1" s="1" t="str">
        <f>Master!BJ1</f>
        <v>FutureReady</v>
      </c>
      <c r="BI1" s="1" t="str">
        <f>Master!BK1</f>
        <v>Assessment</v>
      </c>
      <c r="BJ1" s="1" t="str">
        <f>Master!BL1</f>
        <v>Assessment</v>
      </c>
      <c r="BK1" s="1" t="str">
        <f>Master!BM1</f>
        <v>Assessment</v>
      </c>
      <c r="BL1" s="1" t="str">
        <f>Master!BN1</f>
        <v>TN Pulse</v>
      </c>
      <c r="BM1" s="1" t="str">
        <f>Master!BO1</f>
        <v>TN Pulse</v>
      </c>
      <c r="BN1" s="1" t="str">
        <f>Master!BP1</f>
        <v>TN Pulse</v>
      </c>
      <c r="BO1" s="1" t="str">
        <f>Master!BQ1</f>
        <v>TN Atlas</v>
      </c>
      <c r="BP1" s="1" t="str">
        <f>Master!BR1</f>
        <v>TN Atlas</v>
      </c>
      <c r="BQ1" s="1" t="str">
        <f>Master!BS1</f>
        <v>TN Atlas</v>
      </c>
      <c r="BR1" s="1" t="str">
        <f>Master!BT1</f>
        <v>TN Compass</v>
      </c>
      <c r="BS1" s="1" t="str">
        <f>Master!BU1</f>
        <v>TN Compass</v>
      </c>
      <c r="BT1" s="1" t="str">
        <f>Master!BV1</f>
        <v>TN Compass</v>
      </c>
      <c r="BU1" s="1" t="str">
        <f>Master!BW1</f>
        <v>Core Infrastructure</v>
      </c>
      <c r="BV1" s="1" t="str">
        <f>Master!BX1</f>
        <v>Core Infrastructure</v>
      </c>
      <c r="BW1" s="1" t="str">
        <f>Master!BY1</f>
        <v>Core Infrastructure</v>
      </c>
      <c r="BX1" s="1" t="str">
        <f>Master!BZ1</f>
        <v xml:space="preserve">Cohort </v>
      </c>
      <c r="BY1" s="1" t="str">
        <f>Master!CA1</f>
        <v xml:space="preserve">Cohort </v>
      </c>
      <c r="BZ1" s="1" t="str">
        <f>Master!CB1</f>
        <v xml:space="preserve">Cohort </v>
      </c>
      <c r="CA1" s="1" t="str">
        <f>Master!CC1</f>
        <v>CSH Survey</v>
      </c>
      <c r="CB1" s="1" t="str">
        <f>Master!CD1</f>
        <v>CSH Survey</v>
      </c>
      <c r="CC1" s="1" t="str">
        <f>Master!CE1</f>
        <v>CSH Survey</v>
      </c>
      <c r="CD1" s="1" t="str">
        <f>Master!CF1</f>
        <v>Totals</v>
      </c>
      <c r="CE1" s="1" t="str">
        <f>Master!CG1</f>
        <v>Totals</v>
      </c>
    </row>
    <row r="2" spans="1:83" s="1" customFormat="1">
      <c r="A2" s="1" t="s">
        <v>28</v>
      </c>
      <c r="B2" s="1" t="s">
        <v>30</v>
      </c>
      <c r="D2" s="1" t="str">
        <f>Master!F2</f>
        <v>Net New</v>
      </c>
      <c r="E2" s="1" t="str">
        <f>Master!G2</f>
        <v>Enhance Existing</v>
      </c>
      <c r="F2" s="1" t="str">
        <f>Master!H2</f>
        <v>Maintenance</v>
      </c>
      <c r="G2" s="1" t="str">
        <f>Master!I2</f>
        <v>Net New</v>
      </c>
      <c r="H2" s="1" t="str">
        <f>Master!J2</f>
        <v>Enhance Existing</v>
      </c>
      <c r="I2" s="1" t="str">
        <f>Master!K2</f>
        <v>Maintenance</v>
      </c>
      <c r="J2" s="1" t="str">
        <f>Master!L2</f>
        <v>Net New</v>
      </c>
      <c r="K2" s="1" t="str">
        <f>Master!M2</f>
        <v>Enhance Existing</v>
      </c>
      <c r="L2" s="1" t="str">
        <f>Master!N2</f>
        <v>Maintenance</v>
      </c>
      <c r="M2" s="1" t="str">
        <f>Master!O2</f>
        <v>Net New</v>
      </c>
      <c r="N2" s="1" t="str">
        <f>Master!P2</f>
        <v>Enhance Existing</v>
      </c>
      <c r="O2" s="1" t="str">
        <f>Master!Q2</f>
        <v>Maintenance</v>
      </c>
      <c r="P2" s="1" t="str">
        <f>Master!R2</f>
        <v>Net New</v>
      </c>
      <c r="Q2" s="1" t="str">
        <f>Master!S2</f>
        <v>Enhance Existing</v>
      </c>
      <c r="R2" s="1" t="str">
        <f>Master!T2</f>
        <v>Maintenance</v>
      </c>
      <c r="S2" s="1" t="str">
        <f>Master!U2</f>
        <v>Net New</v>
      </c>
      <c r="T2" s="1" t="str">
        <f>Master!V2</f>
        <v>Enhance Existing</v>
      </c>
      <c r="U2" s="1" t="str">
        <f>Master!W2</f>
        <v>Maintenance</v>
      </c>
      <c r="V2" s="1" t="str">
        <f>Master!X2</f>
        <v>Net New</v>
      </c>
      <c r="W2" s="1" t="str">
        <f>Master!Y2</f>
        <v>Enhance Existing</v>
      </c>
      <c r="X2" s="1" t="str">
        <f>Master!Z2</f>
        <v>Maintenance</v>
      </c>
      <c r="Y2" s="1" t="str">
        <f>Master!AA2</f>
        <v>Net New</v>
      </c>
      <c r="Z2" s="1" t="str">
        <f>Master!AB2</f>
        <v>Enhance Existing</v>
      </c>
      <c r="AA2" s="1" t="str">
        <f>Master!AC2</f>
        <v>Maintenance</v>
      </c>
      <c r="AB2" s="1" t="str">
        <f>Master!AD2</f>
        <v>Net New</v>
      </c>
      <c r="AC2" s="1" t="str">
        <f>Master!AE2</f>
        <v>Enhance Existing</v>
      </c>
      <c r="AD2" s="1" t="str">
        <f>Master!AF2</f>
        <v>Maintenance</v>
      </c>
      <c r="AE2" s="1" t="str">
        <f>Master!AG2</f>
        <v>Net New</v>
      </c>
      <c r="AF2" s="1" t="str">
        <f>Master!AH2</f>
        <v>Enhance Existing</v>
      </c>
      <c r="AG2" s="1" t="str">
        <f>Master!AI2</f>
        <v>Maintenance</v>
      </c>
      <c r="AH2" s="1" t="str">
        <f>Master!AJ2</f>
        <v>Net New</v>
      </c>
      <c r="AI2" s="1" t="str">
        <f>Master!AK2</f>
        <v>Enhance Existing</v>
      </c>
      <c r="AJ2" s="1" t="str">
        <f>Master!AL2</f>
        <v>Maintenance</v>
      </c>
      <c r="AK2" s="1" t="str">
        <f>Master!AM2</f>
        <v>Net New</v>
      </c>
      <c r="AL2" s="1" t="str">
        <f>Master!AN2</f>
        <v>Enhance Existing</v>
      </c>
      <c r="AM2" s="1" t="str">
        <f>Master!AO2</f>
        <v>Maintenance</v>
      </c>
      <c r="AN2" s="1" t="str">
        <f>Master!AP2</f>
        <v>Net New</v>
      </c>
      <c r="AO2" s="1" t="str">
        <f>Master!AQ2</f>
        <v>Enhance Existing</v>
      </c>
      <c r="AP2" s="1" t="str">
        <f>Master!AR2</f>
        <v>Maintenance</v>
      </c>
      <c r="AQ2" s="1" t="str">
        <f>Master!AS2</f>
        <v>Net New</v>
      </c>
      <c r="AR2" s="1" t="str">
        <f>Master!AT2</f>
        <v>Enhance Existing</v>
      </c>
      <c r="AS2" s="1" t="str">
        <f>Master!AU2</f>
        <v>Maintenance</v>
      </c>
      <c r="AT2" s="1" t="str">
        <f>Master!AV2</f>
        <v>Net New</v>
      </c>
      <c r="AU2" s="1" t="str">
        <f>Master!AW2</f>
        <v>Enhance Existing</v>
      </c>
      <c r="AV2" s="1" t="str">
        <f>Master!AX2</f>
        <v>Maintenance</v>
      </c>
      <c r="AW2" s="1" t="str">
        <f>Master!AY2</f>
        <v>Net New</v>
      </c>
      <c r="AX2" s="1" t="str">
        <f>Master!AZ2</f>
        <v>Enhance Existing</v>
      </c>
      <c r="AY2" s="1" t="str">
        <f>Master!BA2</f>
        <v>Maintenance</v>
      </c>
      <c r="AZ2" s="1" t="str">
        <f>Master!BB2</f>
        <v>Net New</v>
      </c>
      <c r="BA2" s="1" t="str">
        <f>Master!BC2</f>
        <v>Enhance Existing</v>
      </c>
      <c r="BB2" s="1" t="str">
        <f>Master!BD2</f>
        <v>Maintenance</v>
      </c>
      <c r="BC2" s="1" t="str">
        <f>Master!BE2</f>
        <v>Net New</v>
      </c>
      <c r="BD2" s="1" t="str">
        <f>Master!BF2</f>
        <v>Enhance Existing</v>
      </c>
      <c r="BE2" s="1" t="str">
        <f>Master!BG2</f>
        <v>Maintenance</v>
      </c>
      <c r="BF2" s="1" t="str">
        <f>Master!BH2</f>
        <v>Net New</v>
      </c>
      <c r="BG2" s="1" t="str">
        <f>Master!BI2</f>
        <v>Enhance Existing</v>
      </c>
      <c r="BH2" s="1" t="str">
        <f>Master!BJ2</f>
        <v>Maintenance</v>
      </c>
      <c r="BI2" s="1" t="str">
        <f>Master!BK2</f>
        <v>Net New</v>
      </c>
      <c r="BJ2" s="1" t="str">
        <f>Master!BL2</f>
        <v>Enhance Existing</v>
      </c>
      <c r="BK2" s="1" t="str">
        <f>Master!BM2</f>
        <v>Maintenance</v>
      </c>
      <c r="BL2" s="1" t="str">
        <f>Master!BN2</f>
        <v>Net New</v>
      </c>
      <c r="BM2" s="1" t="str">
        <f>Master!BO2</f>
        <v>Enhance Existing</v>
      </c>
      <c r="BN2" s="1" t="str">
        <f>Master!BP2</f>
        <v>Maintenance</v>
      </c>
      <c r="BO2" s="1" t="str">
        <f>Master!BQ2</f>
        <v>Net New</v>
      </c>
      <c r="BP2" s="1" t="str">
        <f>Master!BR2</f>
        <v>Enhance Existing</v>
      </c>
      <c r="BQ2" s="1" t="str">
        <f>Master!BS2</f>
        <v>Maintenance</v>
      </c>
      <c r="BR2" s="1" t="str">
        <f>Master!BT2</f>
        <v>Net New</v>
      </c>
      <c r="BS2" s="1" t="str">
        <f>Master!BU2</f>
        <v>Enhance Existing</v>
      </c>
      <c r="BT2" s="1" t="str">
        <f>Master!BV2</f>
        <v>Maintenance</v>
      </c>
      <c r="BU2" s="1" t="str">
        <f>Master!BW2</f>
        <v>Net New</v>
      </c>
      <c r="BV2" s="1" t="str">
        <f>Master!BX2</f>
        <v>Enhance Existing</v>
      </c>
      <c r="BW2" s="1" t="str">
        <f>Master!BY2</f>
        <v>Maintenance</v>
      </c>
      <c r="BX2" s="1" t="str">
        <f>Master!BZ2</f>
        <v>Net New</v>
      </c>
      <c r="BY2" s="1" t="str">
        <f>Master!CA2</f>
        <v>Enhance Existing</v>
      </c>
      <c r="BZ2" s="1" t="str">
        <f>Master!CB2</f>
        <v>Maintenance</v>
      </c>
      <c r="CA2" s="1" t="str">
        <f>Master!CC2</f>
        <v>Net New</v>
      </c>
      <c r="CB2" s="1" t="str">
        <f>Master!CD2</f>
        <v>Enhance Existing</v>
      </c>
      <c r="CC2" s="1" t="str">
        <f>Master!CE2</f>
        <v>Maintenance</v>
      </c>
      <c r="CD2" s="1" t="str">
        <f>Master!CF2</f>
        <v>Net New Hours</v>
      </c>
      <c r="CE2" s="1" t="str">
        <f>Master!CG2</f>
        <v>Enhance Existing Hours</v>
      </c>
    </row>
    <row r="3" spans="1:83">
      <c r="A3" t="str">
        <f>Master!A3</f>
        <v>Sr. Dev</v>
      </c>
      <c r="B3" t="str">
        <f>Master!C3</f>
        <v>Steven McKee</v>
      </c>
      <c r="G3">
        <v>120</v>
      </c>
    </row>
    <row r="4" spans="1:83">
      <c r="A4" t="str">
        <f>Master!A4</f>
        <v>Dev</v>
      </c>
      <c r="B4" t="str">
        <f>Master!C4</f>
        <v xml:space="preserve">Pooja </v>
      </c>
    </row>
    <row r="5" spans="1:83">
      <c r="A5" t="str">
        <f>Master!A5</f>
        <v>Sr. Dev</v>
      </c>
      <c r="B5" t="str">
        <f>Master!C5</f>
        <v xml:space="preserve">Tony </v>
      </c>
      <c r="G5">
        <v>120</v>
      </c>
    </row>
    <row r="6" spans="1:83">
      <c r="A6" t="str">
        <f>Master!A6</f>
        <v>Dev</v>
      </c>
      <c r="B6" t="str">
        <f>Master!C6</f>
        <v>Lalitha</v>
      </c>
      <c r="AD6">
        <v>120</v>
      </c>
    </row>
    <row r="7" spans="1:83">
      <c r="A7" t="str">
        <f>Master!A7</f>
        <v>Sr. Dev</v>
      </c>
      <c r="B7" t="str">
        <f>Master!C7</f>
        <v>Greg Marcum</v>
      </c>
    </row>
    <row r="8" spans="1:83">
      <c r="A8" t="str">
        <f>Master!A8</f>
        <v>Dev</v>
      </c>
      <c r="B8" t="str">
        <f>Master!C8</f>
        <v>Simrath</v>
      </c>
      <c r="O8">
        <v>120</v>
      </c>
    </row>
    <row r="9" spans="1:83">
      <c r="A9" t="str">
        <f>Master!A9</f>
        <v>Dev</v>
      </c>
      <c r="B9" t="str">
        <f>Master!C9</f>
        <v>Sriram</v>
      </c>
      <c r="AP9">
        <v>120</v>
      </c>
    </row>
    <row r="10" spans="1:83">
      <c r="A10" t="str">
        <f>Master!A10</f>
        <v>Dev</v>
      </c>
      <c r="B10" t="str">
        <f>Master!C10</f>
        <v>Justin Meshew</v>
      </c>
      <c r="O10">
        <v>120</v>
      </c>
    </row>
    <row r="11" spans="1:83">
      <c r="A11" t="str">
        <f>Master!A11</f>
        <v>Sr. Dev</v>
      </c>
      <c r="B11" t="str">
        <f>Master!C11</f>
        <v>Ryan Dailey</v>
      </c>
      <c r="BW11">
        <v>120</v>
      </c>
    </row>
    <row r="12" spans="1:83">
      <c r="A12" t="str">
        <f>Master!A12</f>
        <v>Dev</v>
      </c>
      <c r="B12" t="str">
        <f>Master!C12</f>
        <v>Dean Bowles</v>
      </c>
      <c r="BF12">
        <v>120</v>
      </c>
    </row>
    <row r="13" spans="1:83">
      <c r="A13" t="str">
        <f>Master!A13</f>
        <v>Sr. Dev</v>
      </c>
      <c r="B13" t="str">
        <f>Master!C13</f>
        <v>Donnie</v>
      </c>
      <c r="D13">
        <v>80</v>
      </c>
      <c r="F13">
        <v>40</v>
      </c>
    </row>
    <row r="14" spans="1:83">
      <c r="A14" t="str">
        <f>Master!A14</f>
        <v>Sr. Dev</v>
      </c>
      <c r="B14" t="str">
        <f>Master!C14</f>
        <v>Mark</v>
      </c>
      <c r="D14">
        <v>120</v>
      </c>
    </row>
    <row r="15" spans="1:83">
      <c r="A15" t="str">
        <f>Master!A15</f>
        <v>Dev</v>
      </c>
      <c r="B15" t="str">
        <f>Master!C15</f>
        <v>Kasey Goodwin</v>
      </c>
    </row>
    <row r="16" spans="1:83">
      <c r="A16" t="str">
        <f>Master!A16</f>
        <v>Sr. Dev</v>
      </c>
      <c r="B16" t="str">
        <f>Master!C16</f>
        <v>Greg Brethen</v>
      </c>
      <c r="F16">
        <v>120</v>
      </c>
      <c r="X16">
        <v>120</v>
      </c>
    </row>
    <row r="17" spans="1:81">
      <c r="A17" t="str">
        <f>Master!A17</f>
        <v xml:space="preserve">QA </v>
      </c>
      <c r="B17" t="str">
        <f>Master!C17</f>
        <v>Jackie Zweck</v>
      </c>
      <c r="G17">
        <v>50</v>
      </c>
      <c r="I17">
        <v>50</v>
      </c>
      <c r="BW17">
        <v>20</v>
      </c>
    </row>
    <row r="18" spans="1:81">
      <c r="A18" t="str">
        <f>Master!A18</f>
        <v>Dev</v>
      </c>
      <c r="B18" t="str">
        <f>Master!C18</f>
        <v>Thanuja Bachala</v>
      </c>
      <c r="G18">
        <v>50</v>
      </c>
      <c r="I18">
        <v>50</v>
      </c>
      <c r="BW18">
        <v>20</v>
      </c>
    </row>
    <row r="19" spans="1:81">
      <c r="A19" t="str">
        <f>Master!A19</f>
        <v xml:space="preserve">QA </v>
      </c>
      <c r="B19" t="str">
        <f>Master!C19</f>
        <v>Neeharika Gadela</v>
      </c>
      <c r="F19">
        <v>10</v>
      </c>
      <c r="BW19">
        <v>110</v>
      </c>
    </row>
    <row r="20" spans="1:81">
      <c r="A20" t="str">
        <f>Master!A20</f>
        <v xml:space="preserve">QA </v>
      </c>
      <c r="B20" t="str">
        <f>Master!C20</f>
        <v>Akhil Musani</v>
      </c>
      <c r="D20">
        <v>40</v>
      </c>
      <c r="F20">
        <v>60</v>
      </c>
      <c r="AD20">
        <v>5</v>
      </c>
      <c r="AJ20">
        <v>5</v>
      </c>
      <c r="BW20">
        <v>10</v>
      </c>
    </row>
    <row r="21" spans="1:81">
      <c r="A21" t="str">
        <f>Master!A21</f>
        <v>Product</v>
      </c>
      <c r="B21" t="str">
        <f>Master!C21</f>
        <v>Eunice Jallah</v>
      </c>
      <c r="BW21">
        <v>120</v>
      </c>
    </row>
    <row r="22" spans="1:81">
      <c r="A22" t="str">
        <f>Master!A22</f>
        <v>Product</v>
      </c>
      <c r="B22" t="str">
        <f>Master!C22</f>
        <v>Meera Mehta</v>
      </c>
      <c r="D22">
        <v>100</v>
      </c>
      <c r="T22">
        <v>20</v>
      </c>
    </row>
    <row r="23" spans="1:81">
      <c r="A23" t="str">
        <f>Master!A23</f>
        <v>Product</v>
      </c>
      <c r="B23" t="str">
        <f>Master!C23</f>
        <v>Rojina Thapa</v>
      </c>
      <c r="L23">
        <v>75</v>
      </c>
      <c r="AG23">
        <v>10</v>
      </c>
      <c r="AS23">
        <v>0</v>
      </c>
      <c r="BW23">
        <v>20</v>
      </c>
      <c r="CC23">
        <v>15</v>
      </c>
    </row>
    <row r="24" spans="1:81">
      <c r="A24" t="str">
        <f>Master!A24</f>
        <v>Product</v>
      </c>
      <c r="B24" t="str">
        <f>Master!C24</f>
        <v>Pankaj Kokate</v>
      </c>
      <c r="X24">
        <v>20</v>
      </c>
      <c r="BW24">
        <v>100</v>
      </c>
    </row>
    <row r="25" spans="1:81">
      <c r="A25" t="str">
        <f>Master!A25</f>
        <v>Product</v>
      </c>
      <c r="B25" t="str">
        <f>Master!C25</f>
        <v>Catherine Horton</v>
      </c>
      <c r="AM25">
        <v>120</v>
      </c>
    </row>
    <row r="26" spans="1:81">
      <c r="A26" t="str">
        <f>Master!A26</f>
        <v xml:space="preserve">Product </v>
      </c>
      <c r="B26" t="str">
        <f>Master!C26</f>
        <v>Latha Ramasamy</v>
      </c>
      <c r="G26">
        <v>60</v>
      </c>
      <c r="I26">
        <v>60</v>
      </c>
    </row>
    <row r="27" spans="1:81">
      <c r="A27" t="str">
        <f>Master!A27</f>
        <v>Sr. Dev</v>
      </c>
      <c r="B27" t="str">
        <f>Master!C27</f>
        <v>Claire Smith-Edwards</v>
      </c>
      <c r="D27">
        <v>120</v>
      </c>
    </row>
    <row r="28" spans="1:81">
      <c r="A28" t="str">
        <f>Master!A28</f>
        <v>Dev</v>
      </c>
      <c r="B28" t="str">
        <f>Master!C28</f>
        <v>Vinay Sunkyredi</v>
      </c>
      <c r="D28">
        <v>70</v>
      </c>
      <c r="X28">
        <v>50</v>
      </c>
    </row>
    <row r="29" spans="1:81">
      <c r="A29" t="str">
        <f>Master!A29</f>
        <v>Dev Ops</v>
      </c>
      <c r="B29" t="str">
        <f>Master!C29</f>
        <v>Gunter</v>
      </c>
      <c r="BV29">
        <v>60</v>
      </c>
      <c r="BW29">
        <v>60</v>
      </c>
    </row>
    <row r="30" spans="1:81">
      <c r="A30" t="str">
        <f>Master!A30</f>
        <v>Dev Ops</v>
      </c>
      <c r="B30" t="str">
        <f>Master!C30</f>
        <v>Zack</v>
      </c>
      <c r="BV30">
        <v>60</v>
      </c>
      <c r="BW3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Gollapudi</dc:creator>
  <cp:keywords/>
  <dc:description/>
  <cp:lastModifiedBy/>
  <cp:revision/>
  <dcterms:created xsi:type="dcterms:W3CDTF">2026-04-01T13:41:42Z</dcterms:created>
  <dcterms:modified xsi:type="dcterms:W3CDTF">2026-05-20T19:25:58Z</dcterms:modified>
  <cp:category/>
  <cp:contentStatus/>
</cp:coreProperties>
</file>